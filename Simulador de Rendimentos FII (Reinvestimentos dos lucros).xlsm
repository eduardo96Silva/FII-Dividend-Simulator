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Documentos Pessoal\Scripts\"/>
    </mc:Choice>
  </mc:AlternateContent>
  <xr:revisionPtr revIDLastSave="0" documentId="13_ncr:1_{50ADF6EB-DA59-4A5C-BA26-8E2322F2CBA4}" xr6:coauthVersionLast="47" xr6:coauthVersionMax="47" xr10:uidLastSave="{00000000-0000-0000-0000-000000000000}"/>
  <bookViews>
    <workbookView xWindow="-120" yWindow="-120" windowWidth="20640" windowHeight="11160" xr2:uid="{A8289D62-BEB5-4256-8E4F-8522ED8E2B8F}"/>
  </bookViews>
  <sheets>
    <sheet name="Planilha1" sheetId="1" r:id="rId1"/>
  </sheets>
  <functionGroups builtInGroupCount="19"/>
  <definedNames>
    <definedName name="_xlnm._FilterDatabase" localSheetId="0" hidden="1">Planilha1!$A$4:$I$4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B5" i="1" s="1"/>
  <c r="C5" i="1" l="1"/>
  <c r="E5" i="1"/>
  <c r="D5" i="1" s="1"/>
  <c r="G6" i="1" s="1"/>
  <c r="F6" i="1" s="1"/>
  <c r="C6" i="1" l="1"/>
  <c r="B6" i="1"/>
  <c r="E6" i="1"/>
  <c r="D6" i="1" l="1"/>
  <c r="G7" i="1" s="1"/>
  <c r="F7" i="1" s="1"/>
  <c r="B7" i="1" l="1"/>
  <c r="C7" i="1"/>
  <c r="E7" i="1"/>
  <c r="D7" i="1" s="1"/>
  <c r="G8" i="1" s="1"/>
  <c r="F8" i="1" l="1"/>
  <c r="E8" i="1" l="1"/>
  <c r="D8" i="1" s="1"/>
  <c r="G9" i="1" s="1"/>
  <c r="B8" i="1"/>
  <c r="C8" i="1"/>
  <c r="F9" i="1" l="1"/>
  <c r="B9" i="1" l="1"/>
  <c r="E9" i="1"/>
  <c r="D9" i="1" s="1"/>
  <c r="G10" i="1" s="1"/>
  <c r="C9" i="1"/>
  <c r="F10" i="1" l="1"/>
  <c r="C10" i="1" s="1"/>
  <c r="B10" i="1" l="1"/>
  <c r="E10" i="1"/>
  <c r="D10" i="1" s="1"/>
  <c r="G11" i="1" s="1"/>
  <c r="F11" i="1" l="1"/>
  <c r="B11" i="1" s="1"/>
  <c r="E11" i="1" l="1"/>
  <c r="D11" i="1" s="1"/>
  <c r="G12" i="1" s="1"/>
  <c r="F12" i="1" s="1"/>
  <c r="C11" i="1"/>
  <c r="C12" i="1" l="1"/>
  <c r="E12" i="1"/>
  <c r="D12" i="1" s="1"/>
  <c r="G13" i="1" s="1"/>
  <c r="B12" i="1"/>
  <c r="F13" i="1" l="1"/>
  <c r="C13" i="1" s="1"/>
  <c r="E13" i="1" l="1"/>
  <c r="D13" i="1" s="1"/>
  <c r="G14" i="1" s="1"/>
  <c r="B13" i="1"/>
  <c r="F14" i="1" l="1"/>
  <c r="E14" i="1" s="1"/>
  <c r="D14" i="1" s="1"/>
  <c r="G15" i="1" s="1"/>
  <c r="B14" i="1" l="1"/>
  <c r="F15" i="1" s="1"/>
  <c r="B15" i="1" s="1"/>
  <c r="C14" i="1"/>
  <c r="C15" i="1" l="1"/>
  <c r="E15" i="1"/>
  <c r="D15" i="1" s="1"/>
  <c r="G16" i="1" s="1"/>
  <c r="F16" i="1" s="1"/>
  <c r="E16" i="1" s="1"/>
  <c r="D16" i="1" s="1"/>
  <c r="G17" i="1" s="1"/>
  <c r="B16" i="1" l="1"/>
  <c r="F17" i="1" s="1"/>
  <c r="E17" i="1" s="1"/>
  <c r="D17" i="1" s="1"/>
  <c r="G18" i="1" s="1"/>
  <c r="C16" i="1"/>
  <c r="B17" i="1" l="1"/>
  <c r="F18" i="1" s="1"/>
  <c r="B18" i="1" s="1"/>
  <c r="C17" i="1"/>
  <c r="E18" i="1" l="1"/>
  <c r="D18" i="1" s="1"/>
  <c r="G19" i="1" s="1"/>
  <c r="F19" i="1" s="1"/>
  <c r="E19" i="1" s="1"/>
  <c r="D19" i="1" s="1"/>
  <c r="G20" i="1" s="1"/>
  <c r="C18" i="1"/>
  <c r="B19" i="1" l="1"/>
  <c r="F20" i="1" s="1"/>
  <c r="B20" i="1" s="1"/>
  <c r="C19" i="1"/>
  <c r="E20" i="1" l="1"/>
  <c r="D20" i="1" s="1"/>
  <c r="G21" i="1" s="1"/>
  <c r="F21" i="1" s="1"/>
  <c r="C20" i="1"/>
  <c r="C21" i="1" l="1"/>
  <c r="B21" i="1"/>
  <c r="E21" i="1"/>
  <c r="D21" i="1" s="1"/>
  <c r="G22" i="1" s="1"/>
  <c r="F22" i="1" l="1"/>
  <c r="B22" i="1" s="1"/>
  <c r="C22" i="1" l="1"/>
  <c r="E22" i="1"/>
  <c r="D22" i="1" s="1"/>
  <c r="G23" i="1" s="1"/>
  <c r="F23" i="1" s="1"/>
  <c r="C23" i="1" l="1"/>
  <c r="B23" i="1"/>
  <c r="E23" i="1"/>
  <c r="D23" i="1" s="1"/>
  <c r="G24" i="1" s="1"/>
  <c r="F24" i="1" l="1"/>
  <c r="C24" i="1" s="1"/>
  <c r="E24" i="1" l="1"/>
  <c r="D24" i="1" s="1"/>
  <c r="G25" i="1" s="1"/>
  <c r="B24" i="1"/>
  <c r="F25" i="1" l="1"/>
  <c r="B25" i="1" s="1"/>
  <c r="C25" i="1" l="1"/>
  <c r="E25" i="1"/>
  <c r="D25" i="1" s="1"/>
  <c r="G26" i="1" s="1"/>
  <c r="F26" i="1" l="1"/>
  <c r="E26" i="1" s="1"/>
  <c r="D26" i="1" s="1"/>
  <c r="G27" i="1" s="1"/>
  <c r="C26" i="1" l="1"/>
  <c r="B26" i="1"/>
  <c r="F27" i="1" s="1"/>
  <c r="B27" i="1" s="1"/>
  <c r="C27" i="1" l="1"/>
  <c r="E27" i="1"/>
  <c r="D27" i="1" s="1"/>
  <c r="G28" i="1" s="1"/>
  <c r="F28" i="1" s="1"/>
  <c r="C28" i="1" l="1"/>
  <c r="B28" i="1"/>
  <c r="E28" i="1"/>
  <c r="D28" i="1" s="1"/>
  <c r="G29" i="1" s="1"/>
  <c r="F29" i="1" l="1"/>
  <c r="E29" i="1" s="1"/>
  <c r="D29" i="1" s="1"/>
  <c r="G30" i="1" s="1"/>
  <c r="C29" i="1" l="1"/>
  <c r="B29" i="1"/>
  <c r="F30" i="1" l="1"/>
  <c r="B30" i="1" s="1"/>
  <c r="C30" i="1" l="1"/>
  <c r="E30" i="1"/>
  <c r="D30" i="1" s="1"/>
  <c r="G31" i="1" s="1"/>
  <c r="F31" i="1" s="1"/>
  <c r="E31" i="1" l="1"/>
  <c r="D31" i="1" s="1"/>
  <c r="G32" i="1" s="1"/>
  <c r="B31" i="1"/>
  <c r="C31" i="1"/>
  <c r="F32" i="1" l="1"/>
  <c r="B32" i="1" s="1"/>
  <c r="C32" i="1" l="1"/>
  <c r="E32" i="1"/>
  <c r="D32" i="1" s="1"/>
  <c r="G33" i="1" s="1"/>
  <c r="F33" i="1" s="1"/>
  <c r="C33" i="1" l="1"/>
  <c r="E33" i="1"/>
  <c r="D33" i="1" s="1"/>
  <c r="G34" i="1" s="1"/>
  <c r="B33" i="1"/>
  <c r="F34" i="1" l="1"/>
  <c r="B34" i="1" s="1"/>
  <c r="E34" i="1" l="1"/>
  <c r="D34" i="1" s="1"/>
  <c r="G35" i="1" s="1"/>
  <c r="F35" i="1" s="1"/>
  <c r="C34" i="1"/>
  <c r="C35" i="1" l="1"/>
  <c r="E35" i="1"/>
  <c r="D35" i="1" s="1"/>
  <c r="G36" i="1" s="1"/>
  <c r="B35" i="1"/>
  <c r="F36" i="1" l="1"/>
  <c r="C36" i="1" l="1"/>
  <c r="E36" i="1"/>
  <c r="D36" i="1" s="1"/>
  <c r="G37" i="1" s="1"/>
  <c r="B36" i="1"/>
  <c r="F37" i="1" l="1"/>
  <c r="C37" i="1" l="1"/>
  <c r="B37" i="1"/>
  <c r="E37" i="1"/>
  <c r="D37" i="1" s="1"/>
  <c r="G38" i="1" s="1"/>
  <c r="F38" i="1" l="1"/>
  <c r="C38" i="1" l="1"/>
  <c r="B38" i="1"/>
  <c r="E38" i="1"/>
  <c r="D38" i="1" s="1"/>
  <c r="G39" i="1" s="1"/>
  <c r="F39" i="1" l="1"/>
  <c r="C39" i="1" l="1"/>
  <c r="B39" i="1"/>
  <c r="E39" i="1"/>
  <c r="D39" i="1" s="1"/>
  <c r="G40" i="1" s="1"/>
  <c r="F40" i="1" l="1"/>
  <c r="B40" i="1" s="1"/>
  <c r="C40" i="1" l="1"/>
  <c r="E40" i="1"/>
  <c r="D40" i="1" s="1"/>
  <c r="G41" i="1" s="1"/>
  <c r="F41" i="1" s="1"/>
  <c r="C41" i="1" s="1"/>
  <c r="B41" i="1" l="1"/>
  <c r="E41" i="1"/>
  <c r="D41" i="1" s="1"/>
  <c r="G42" i="1" s="1"/>
  <c r="F42" i="1" l="1"/>
  <c r="C42" i="1" s="1"/>
  <c r="E42" i="1" l="1"/>
  <c r="D42" i="1" s="1"/>
  <c r="G43" i="1" s="1"/>
  <c r="B42" i="1"/>
  <c r="F43" i="1" l="1"/>
  <c r="C43" i="1" s="1"/>
  <c r="E43" i="1" l="1"/>
  <c r="D43" i="1" s="1"/>
  <c r="G44" i="1" s="1"/>
  <c r="B43" i="1"/>
  <c r="F44" i="1" l="1"/>
  <c r="C44" i="1" s="1"/>
  <c r="E44" i="1" l="1"/>
  <c r="D44" i="1" s="1"/>
  <c r="G45" i="1" s="1"/>
  <c r="B44" i="1"/>
  <c r="F45" i="1" l="1"/>
  <c r="C45" i="1" s="1"/>
  <c r="B45" i="1" l="1"/>
  <c r="E45" i="1"/>
  <c r="D45" i="1" s="1"/>
  <c r="G46" i="1" s="1"/>
  <c r="F46" i="1" s="1"/>
  <c r="B46" i="1" s="1"/>
  <c r="C46" i="1" l="1"/>
  <c r="E46" i="1"/>
  <c r="D46" i="1" s="1"/>
  <c r="G47" i="1" s="1"/>
  <c r="F47" i="1" s="1"/>
  <c r="E47" i="1" s="1"/>
  <c r="D47" i="1" s="1"/>
  <c r="G48" i="1" s="1"/>
  <c r="B47" i="1" l="1"/>
  <c r="F48" i="1" s="1"/>
  <c r="B48" i="1" s="1"/>
  <c r="C47" i="1"/>
  <c r="E48" i="1" l="1"/>
  <c r="D48" i="1" s="1"/>
  <c r="G49" i="1" s="1"/>
  <c r="F49" i="1" s="1"/>
  <c r="C48" i="1"/>
  <c r="C49" i="1" l="1"/>
  <c r="B49" i="1"/>
  <c r="E49" i="1"/>
  <c r="D49" i="1" s="1"/>
  <c r="G50" i="1" s="1"/>
  <c r="F50" i="1" l="1"/>
  <c r="C50" i="1" s="1"/>
  <c r="B50" i="1" l="1"/>
  <c r="E50" i="1"/>
  <c r="D50" i="1" s="1"/>
  <c r="G51" i="1" s="1"/>
  <c r="F51" i="1" l="1"/>
  <c r="C51" i="1" s="1"/>
  <c r="B51" i="1" l="1"/>
  <c r="E51" i="1"/>
  <c r="D51" i="1" s="1"/>
  <c r="G52" i="1" s="1"/>
  <c r="F52" i="1" l="1"/>
  <c r="C52" i="1" s="1"/>
  <c r="B52" i="1"/>
  <c r="E52" i="1" l="1"/>
  <c r="D52" i="1" s="1"/>
  <c r="G53" i="1" s="1"/>
  <c r="F53" i="1" s="1"/>
  <c r="C53" i="1" s="1"/>
  <c r="B53" i="1" l="1"/>
  <c r="E53" i="1"/>
  <c r="D53" i="1" s="1"/>
  <c r="G54" i="1" s="1"/>
  <c r="F54" i="1" l="1"/>
  <c r="C54" i="1" l="1"/>
  <c r="B54" i="1"/>
  <c r="E54" i="1"/>
  <c r="D54" i="1" s="1"/>
  <c r="G55" i="1" s="1"/>
  <c r="F55" i="1" l="1"/>
  <c r="C55" i="1" l="1"/>
  <c r="B55" i="1"/>
  <c r="E55" i="1"/>
  <c r="D55" i="1" s="1"/>
  <c r="G56" i="1" s="1"/>
  <c r="F56" i="1" l="1"/>
  <c r="B56" i="1" s="1"/>
  <c r="C56" i="1" l="1"/>
  <c r="E56" i="1"/>
  <c r="D56" i="1" s="1"/>
  <c r="G57" i="1" s="1"/>
  <c r="F57" i="1" s="1"/>
  <c r="C57" i="1" s="1"/>
  <c r="E57" i="1" l="1"/>
  <c r="D57" i="1" s="1"/>
  <c r="G58" i="1" s="1"/>
  <c r="B57" i="1"/>
  <c r="F58" i="1" l="1"/>
  <c r="C58" i="1" s="1"/>
  <c r="B58" i="1" l="1"/>
  <c r="E58" i="1"/>
  <c r="D58" i="1" s="1"/>
  <c r="G59" i="1" s="1"/>
  <c r="F59" i="1" l="1"/>
  <c r="E59" i="1" s="1"/>
  <c r="D59" i="1" s="1"/>
  <c r="G60" i="1" s="1"/>
  <c r="C59" i="1" l="1"/>
  <c r="B59" i="1"/>
  <c r="F60" i="1" s="1"/>
  <c r="C60" i="1" l="1"/>
  <c r="B60" i="1"/>
  <c r="E60" i="1"/>
  <c r="D60" i="1" s="1"/>
  <c r="G61" i="1" s="1"/>
  <c r="F61" i="1" l="1"/>
  <c r="B61" i="1" l="1"/>
  <c r="C61" i="1"/>
  <c r="E61" i="1"/>
  <c r="D61" i="1" s="1"/>
  <c r="G62" i="1" s="1"/>
  <c r="F62" i="1" l="1"/>
  <c r="B62" i="1" s="1"/>
  <c r="C62" i="1" l="1"/>
  <c r="E62" i="1"/>
  <c r="D62" i="1" s="1"/>
  <c r="G63" i="1" s="1"/>
  <c r="F63" i="1" s="1"/>
  <c r="C63" i="1" s="1"/>
  <c r="E63" i="1" l="1"/>
  <c r="D63" i="1" s="1"/>
  <c r="G64" i="1" s="1"/>
  <c r="B63" i="1"/>
  <c r="F64" i="1" l="1"/>
  <c r="E64" i="1" s="1"/>
  <c r="D64" i="1" s="1"/>
  <c r="G65" i="1" s="1"/>
  <c r="B64" i="1" l="1"/>
  <c r="F65" i="1" s="1"/>
  <c r="B65" i="1" s="1"/>
  <c r="C64" i="1"/>
  <c r="E65" i="1" l="1"/>
  <c r="D65" i="1" s="1"/>
  <c r="G66" i="1" s="1"/>
  <c r="F66" i="1" s="1"/>
  <c r="B66" i="1" s="1"/>
  <c r="C65" i="1"/>
  <c r="C66" i="1" l="1"/>
  <c r="E66" i="1"/>
  <c r="D66" i="1" s="1"/>
  <c r="G67" i="1" s="1"/>
  <c r="F67" i="1" l="1"/>
  <c r="B67" i="1" s="1"/>
  <c r="C67" i="1" l="1"/>
  <c r="E67" i="1"/>
  <c r="D67" i="1" s="1"/>
  <c r="G68" i="1" s="1"/>
  <c r="F68" i="1" s="1"/>
  <c r="C68" i="1" l="1"/>
  <c r="E68" i="1"/>
  <c r="D68" i="1" s="1"/>
  <c r="G69" i="1" s="1"/>
  <c r="B68" i="1"/>
  <c r="F69" i="1" l="1"/>
  <c r="E69" i="1" l="1"/>
  <c r="D69" i="1" s="1"/>
  <c r="G70" i="1" s="1"/>
  <c r="B69" i="1"/>
  <c r="C69" i="1"/>
  <c r="F70" i="1" l="1"/>
  <c r="C70" i="1" s="1"/>
  <c r="B70" i="1" l="1"/>
  <c r="E70" i="1"/>
  <c r="D70" i="1" s="1"/>
  <c r="G71" i="1" s="1"/>
  <c r="F71" i="1" l="1"/>
  <c r="B71" i="1" l="1"/>
  <c r="C71" i="1"/>
  <c r="E71" i="1"/>
  <c r="D71" i="1" s="1"/>
  <c r="G72" i="1" s="1"/>
  <c r="F72" i="1" l="1"/>
  <c r="C72" i="1" s="1"/>
  <c r="E72" i="1" l="1"/>
  <c r="D72" i="1" s="1"/>
  <c r="G73" i="1" s="1"/>
  <c r="B72" i="1"/>
  <c r="F73" i="1" l="1"/>
  <c r="C73" i="1" s="1"/>
  <c r="E73" i="1" l="1"/>
  <c r="D73" i="1" s="1"/>
  <c r="G74" i="1" s="1"/>
  <c r="B73" i="1"/>
  <c r="F74" i="1" l="1"/>
  <c r="C74" i="1" s="1"/>
  <c r="E74" i="1" l="1"/>
  <c r="D74" i="1" s="1"/>
  <c r="G75" i="1" s="1"/>
  <c r="B74" i="1"/>
  <c r="F75" i="1" l="1"/>
  <c r="C75" i="1" s="1"/>
  <c r="E75" i="1" l="1"/>
  <c r="D75" i="1" s="1"/>
  <c r="G76" i="1" s="1"/>
  <c r="B75" i="1"/>
  <c r="F76" i="1" l="1"/>
  <c r="C76" i="1" s="1"/>
  <c r="E76" i="1" l="1"/>
  <c r="D76" i="1" s="1"/>
  <c r="G77" i="1" s="1"/>
  <c r="B76" i="1"/>
  <c r="F77" i="1" l="1"/>
  <c r="C77" i="1" s="1"/>
  <c r="B77" i="1" l="1"/>
  <c r="E77" i="1"/>
  <c r="D77" i="1" s="1"/>
  <c r="G78" i="1" s="1"/>
  <c r="F78" i="1" l="1"/>
  <c r="E78" i="1" s="1"/>
  <c r="D78" i="1" s="1"/>
  <c r="G79" i="1" s="1"/>
  <c r="C78" i="1" l="1"/>
  <c r="B78" i="1"/>
  <c r="F79" i="1" s="1"/>
  <c r="E79" i="1" s="1"/>
  <c r="D79" i="1" s="1"/>
  <c r="G80" i="1" s="1"/>
  <c r="C79" i="1" l="1"/>
  <c r="B79" i="1"/>
  <c r="F80" i="1" s="1"/>
  <c r="E80" i="1" s="1"/>
  <c r="D80" i="1" s="1"/>
  <c r="G81" i="1" s="1"/>
  <c r="C80" i="1" l="1"/>
  <c r="B80" i="1"/>
  <c r="F81" i="1" s="1"/>
  <c r="E81" i="1" l="1"/>
  <c r="D81" i="1" s="1"/>
  <c r="G82" i="1" s="1"/>
  <c r="C81" i="1"/>
  <c r="B81" i="1"/>
  <c r="F82" i="1" l="1"/>
  <c r="C82" i="1" s="1"/>
  <c r="E82" i="1" l="1"/>
  <c r="D82" i="1" s="1"/>
  <c r="G83" i="1" s="1"/>
  <c r="B82" i="1"/>
  <c r="F83" i="1" l="1"/>
  <c r="E83" i="1" s="1"/>
  <c r="D83" i="1" s="1"/>
  <c r="G84" i="1" s="1"/>
  <c r="C83" i="1" l="1"/>
  <c r="B83" i="1"/>
  <c r="F84" i="1" s="1"/>
  <c r="B84" i="1" s="1"/>
  <c r="C84" i="1" l="1"/>
  <c r="E84" i="1"/>
  <c r="D84" i="1" s="1"/>
  <c r="G85" i="1" s="1"/>
  <c r="F85" i="1" s="1"/>
  <c r="C85" i="1" s="1"/>
  <c r="E85" i="1" l="1"/>
  <c r="D85" i="1" s="1"/>
  <c r="G86" i="1" s="1"/>
  <c r="B85" i="1"/>
  <c r="F86" i="1" l="1"/>
  <c r="E86" i="1" s="1"/>
  <c r="D86" i="1" s="1"/>
  <c r="G87" i="1" s="1"/>
  <c r="B86" i="1" l="1"/>
  <c r="F87" i="1" s="1"/>
  <c r="B87" i="1" s="1"/>
  <c r="C86" i="1"/>
  <c r="C87" i="1" s="1"/>
  <c r="E87" i="1" l="1"/>
  <c r="D87" i="1" s="1"/>
  <c r="G88" i="1" s="1"/>
  <c r="F88" i="1" s="1"/>
  <c r="E88" i="1" s="1"/>
  <c r="D88" i="1" s="1"/>
  <c r="G89" i="1" s="1"/>
  <c r="C88" i="1" l="1"/>
  <c r="B88" i="1"/>
  <c r="F89" i="1" s="1"/>
  <c r="E89" i="1" s="1"/>
  <c r="D89" i="1" s="1"/>
  <c r="G90" i="1" s="1"/>
  <c r="C89" i="1" l="1"/>
  <c r="B89" i="1"/>
  <c r="F90" i="1" s="1"/>
  <c r="B90" i="1" s="1"/>
  <c r="C90" i="1" l="1"/>
  <c r="E90" i="1"/>
  <c r="D90" i="1" s="1"/>
  <c r="G91" i="1" s="1"/>
  <c r="F91" i="1" s="1"/>
  <c r="C91" i="1" s="1"/>
  <c r="E91" i="1" l="1"/>
  <c r="D91" i="1" s="1"/>
  <c r="G92" i="1" s="1"/>
  <c r="B91" i="1"/>
  <c r="F92" i="1" l="1"/>
  <c r="C92" i="1" s="1"/>
  <c r="E92" i="1" l="1"/>
  <c r="D92" i="1" s="1"/>
  <c r="G93" i="1" s="1"/>
  <c r="B92" i="1"/>
  <c r="F93" i="1" l="1"/>
  <c r="C93" i="1" s="1"/>
  <c r="B93" i="1" l="1"/>
  <c r="E93" i="1"/>
  <c r="D93" i="1" s="1"/>
  <c r="G94" i="1" s="1"/>
  <c r="F94" i="1" l="1"/>
  <c r="C94" i="1" s="1"/>
  <c r="E94" i="1" l="1"/>
  <c r="D94" i="1" s="1"/>
  <c r="G95" i="1" s="1"/>
  <c r="B94" i="1"/>
  <c r="F95" i="1" l="1"/>
  <c r="B95" i="1" s="1"/>
  <c r="C95" i="1" l="1"/>
  <c r="E95" i="1"/>
  <c r="D95" i="1" s="1"/>
  <c r="G96" i="1" s="1"/>
  <c r="F96" i="1" s="1"/>
  <c r="B96" i="1" s="1"/>
  <c r="E96" i="1" l="1"/>
  <c r="D96" i="1" s="1"/>
  <c r="G97" i="1" s="1"/>
  <c r="F97" i="1" s="1"/>
  <c r="C96" i="1"/>
  <c r="C97" i="1" l="1"/>
  <c r="E97" i="1"/>
  <c r="D97" i="1" s="1"/>
  <c r="G98" i="1" s="1"/>
  <c r="B97" i="1"/>
  <c r="F98" i="1" l="1"/>
  <c r="C98" i="1" s="1"/>
  <c r="E98" i="1" l="1"/>
  <c r="D98" i="1" s="1"/>
  <c r="G99" i="1" s="1"/>
  <c r="B98" i="1"/>
  <c r="F99" i="1" l="1"/>
  <c r="C99" i="1" s="1"/>
  <c r="B99" i="1" l="1"/>
  <c r="E99" i="1"/>
  <c r="D99" i="1" s="1"/>
  <c r="G100" i="1" s="1"/>
  <c r="F100" i="1" l="1"/>
  <c r="C100" i="1" s="1"/>
  <c r="B100" i="1" l="1"/>
  <c r="E100" i="1"/>
  <c r="D100" i="1" s="1"/>
  <c r="G101" i="1" s="1"/>
  <c r="F101" i="1" l="1"/>
  <c r="C101" i="1" s="1"/>
  <c r="B101" i="1" l="1"/>
  <c r="E101" i="1"/>
  <c r="D101" i="1" s="1"/>
  <c r="G102" i="1" s="1"/>
  <c r="F102" i="1" l="1"/>
  <c r="E102" i="1" s="1"/>
  <c r="D102" i="1" s="1"/>
  <c r="G103" i="1" s="1"/>
  <c r="B102" i="1" l="1"/>
  <c r="F103" i="1" s="1"/>
  <c r="C102" i="1"/>
  <c r="C103" i="1" l="1"/>
  <c r="B103" i="1"/>
  <c r="E103" i="1"/>
  <c r="D103" i="1" s="1"/>
  <c r="G104" i="1" s="1"/>
  <c r="F104" i="1" l="1"/>
  <c r="C104" i="1" s="1"/>
  <c r="B104" i="1" l="1"/>
  <c r="E104" i="1"/>
  <c r="D104" i="1" s="1"/>
  <c r="G105" i="1" s="1"/>
  <c r="F105" i="1" l="1"/>
  <c r="C105" i="1" s="1"/>
  <c r="E105" i="1" l="1"/>
  <c r="D105" i="1" s="1"/>
  <c r="G106" i="1" s="1"/>
  <c r="B105" i="1"/>
  <c r="F106" i="1" l="1"/>
  <c r="C106" i="1" s="1"/>
  <c r="E106" i="1" l="1"/>
  <c r="D106" i="1" s="1"/>
  <c r="G107" i="1" s="1"/>
  <c r="B106" i="1"/>
  <c r="F107" i="1" l="1"/>
  <c r="E107" i="1" s="1"/>
  <c r="D107" i="1" s="1"/>
  <c r="G108" i="1" s="1"/>
  <c r="B107" i="1" l="1"/>
  <c r="F108" i="1" s="1"/>
  <c r="C107" i="1"/>
  <c r="C108" i="1" l="1"/>
  <c r="B108" i="1"/>
  <c r="E108" i="1"/>
  <c r="D108" i="1" s="1"/>
  <c r="G109" i="1" s="1"/>
  <c r="F109" i="1" l="1"/>
  <c r="C109" i="1" s="1"/>
  <c r="E109" i="1" l="1"/>
  <c r="D109" i="1" s="1"/>
  <c r="G110" i="1" s="1"/>
  <c r="B109" i="1"/>
  <c r="F110" i="1" l="1"/>
  <c r="C110" i="1" s="1"/>
  <c r="E110" i="1" l="1"/>
  <c r="D110" i="1" s="1"/>
  <c r="G111" i="1" s="1"/>
  <c r="B110" i="1"/>
  <c r="F111" i="1" l="1"/>
  <c r="C111" i="1" s="1"/>
  <c r="B111" i="1" l="1"/>
  <c r="E111" i="1"/>
  <c r="D111" i="1" s="1"/>
  <c r="G112" i="1" s="1"/>
  <c r="F112" i="1" l="1"/>
  <c r="C112" i="1" s="1"/>
  <c r="B112" i="1" l="1"/>
  <c r="E112" i="1"/>
  <c r="D112" i="1" s="1"/>
  <c r="G113" i="1" s="1"/>
  <c r="F113" i="1" l="1"/>
  <c r="C113" i="1" s="1"/>
  <c r="E113" i="1" l="1"/>
  <c r="D113" i="1" s="1"/>
  <c r="G114" i="1" s="1"/>
  <c r="B113" i="1"/>
  <c r="F114" i="1" l="1"/>
  <c r="C114" i="1" s="1"/>
  <c r="E114" i="1" l="1"/>
  <c r="D114" i="1" s="1"/>
  <c r="G115" i="1" s="1"/>
  <c r="B114" i="1"/>
  <c r="F115" i="1" l="1"/>
  <c r="B115" i="1" s="1"/>
  <c r="E115" i="1" l="1"/>
  <c r="D115" i="1" s="1"/>
  <c r="G116" i="1" s="1"/>
  <c r="F116" i="1" s="1"/>
  <c r="C115" i="1"/>
  <c r="C116" i="1" l="1"/>
  <c r="B116" i="1"/>
  <c r="E116" i="1"/>
  <c r="D116" i="1" s="1"/>
  <c r="G117" i="1" s="1"/>
  <c r="F117" i="1" l="1"/>
  <c r="E117" i="1" s="1"/>
  <c r="D117" i="1" s="1"/>
  <c r="G118" i="1" s="1"/>
  <c r="C117" i="1" l="1"/>
  <c r="B117" i="1"/>
  <c r="F118" i="1" s="1"/>
  <c r="B118" i="1" s="1"/>
  <c r="C118" i="1" l="1"/>
  <c r="E118" i="1"/>
  <c r="D118" i="1" s="1"/>
  <c r="G119" i="1" s="1"/>
  <c r="F119" i="1" s="1"/>
  <c r="C119" i="1" l="1"/>
  <c r="B119" i="1"/>
  <c r="E119" i="1"/>
  <c r="D119" i="1" s="1"/>
  <c r="G120" i="1" s="1"/>
  <c r="F120" i="1" l="1"/>
  <c r="E120" i="1" s="1"/>
  <c r="D120" i="1" s="1"/>
  <c r="G121" i="1" s="1"/>
  <c r="B120" i="1" l="1"/>
  <c r="F121" i="1" s="1"/>
  <c r="E121" i="1" s="1"/>
  <c r="D121" i="1" s="1"/>
  <c r="G122" i="1" s="1"/>
  <c r="C120" i="1"/>
  <c r="C121" i="1" l="1"/>
  <c r="B121" i="1"/>
  <c r="F122" i="1" s="1"/>
  <c r="C122" i="1" l="1"/>
  <c r="B122" i="1"/>
  <c r="E122" i="1"/>
  <c r="D122" i="1" s="1"/>
  <c r="G123" i="1" s="1"/>
  <c r="F123" i="1" l="1"/>
  <c r="B123" i="1" s="1"/>
  <c r="E123" i="1" l="1"/>
  <c r="D123" i="1" s="1"/>
  <c r="G124" i="1" s="1"/>
  <c r="F124" i="1" s="1"/>
  <c r="C123" i="1"/>
  <c r="B124" i="1" l="1"/>
  <c r="E124" i="1"/>
  <c r="D124" i="1" s="1"/>
  <c r="G125" i="1" s="1"/>
  <c r="C124" i="1"/>
  <c r="F125" i="1" l="1"/>
  <c r="B125" i="1" s="1"/>
  <c r="C125" i="1" l="1"/>
  <c r="E125" i="1"/>
  <c r="D125" i="1" s="1"/>
  <c r="G126" i="1" s="1"/>
  <c r="F126" i="1" s="1"/>
  <c r="C126" i="1" s="1"/>
  <c r="B126" i="1" l="1"/>
  <c r="E126" i="1"/>
  <c r="D126" i="1" s="1"/>
  <c r="G127" i="1" s="1"/>
  <c r="F127" i="1" l="1"/>
  <c r="E127" i="1" l="1"/>
  <c r="D127" i="1" s="1"/>
  <c r="G128" i="1" s="1"/>
  <c r="B127" i="1"/>
  <c r="C127" i="1"/>
  <c r="F128" i="1" l="1"/>
  <c r="E128" i="1" s="1"/>
  <c r="D128" i="1" s="1"/>
  <c r="G129" i="1" s="1"/>
  <c r="C128" i="1" l="1"/>
  <c r="B128" i="1"/>
  <c r="F129" i="1" s="1"/>
  <c r="C129" i="1" s="1"/>
  <c r="B129" i="1" l="1"/>
  <c r="E129" i="1"/>
  <c r="D129" i="1" s="1"/>
  <c r="G130" i="1" s="1"/>
  <c r="F130" i="1" l="1"/>
  <c r="B130" i="1" l="1"/>
  <c r="E130" i="1"/>
  <c r="D130" i="1" s="1"/>
  <c r="G131" i="1" s="1"/>
  <c r="C130" i="1"/>
  <c r="F131" i="1" l="1"/>
  <c r="C131" i="1" s="1"/>
  <c r="E131" i="1" l="1"/>
  <c r="D131" i="1" s="1"/>
  <c r="G132" i="1" s="1"/>
  <c r="B131" i="1"/>
  <c r="F132" i="1" l="1"/>
  <c r="C132" i="1" s="1"/>
  <c r="B132" i="1" l="1"/>
  <c r="E132" i="1"/>
  <c r="D132" i="1" s="1"/>
  <c r="G133" i="1" s="1"/>
  <c r="F133" i="1" l="1"/>
  <c r="B133" i="1" s="1"/>
  <c r="E133" i="1" l="1"/>
  <c r="D133" i="1" s="1"/>
  <c r="G134" i="1" s="1"/>
  <c r="F134" i="1" s="1"/>
  <c r="C133" i="1"/>
  <c r="C134" i="1" l="1"/>
  <c r="B134" i="1"/>
  <c r="E134" i="1"/>
  <c r="D134" i="1" s="1"/>
  <c r="G135" i="1" s="1"/>
  <c r="F135" i="1" s="1"/>
  <c r="B135" i="1" l="1"/>
  <c r="E135" i="1"/>
  <c r="D135" i="1" s="1"/>
  <c r="G136" i="1" s="1"/>
  <c r="C135" i="1"/>
  <c r="F136" i="1" l="1"/>
  <c r="E136" i="1" l="1"/>
  <c r="D136" i="1" s="1"/>
  <c r="G137" i="1" s="1"/>
  <c r="B136" i="1"/>
  <c r="C136" i="1"/>
  <c r="F137" i="1" l="1"/>
  <c r="C137" i="1" s="1"/>
  <c r="E137" i="1" l="1"/>
  <c r="D137" i="1" s="1"/>
  <c r="G138" i="1" s="1"/>
  <c r="B137" i="1"/>
  <c r="F138" i="1" l="1"/>
  <c r="E138" i="1" s="1"/>
  <c r="D138" i="1" s="1"/>
  <c r="G139" i="1" s="1"/>
  <c r="C138" i="1" l="1"/>
  <c r="B138" i="1"/>
  <c r="F139" i="1" s="1"/>
  <c r="B139" i="1" l="1"/>
  <c r="E139" i="1"/>
  <c r="D139" i="1" s="1"/>
  <c r="G140" i="1" s="1"/>
  <c r="C139" i="1"/>
  <c r="F140" i="1" l="1"/>
  <c r="E140" i="1" l="1"/>
  <c r="D140" i="1" s="1"/>
  <c r="G141" i="1" s="1"/>
  <c r="B140" i="1"/>
  <c r="C140" i="1"/>
  <c r="F141" i="1" l="1"/>
  <c r="E141" i="1" l="1"/>
  <c r="D141" i="1" s="1"/>
  <c r="G142" i="1" s="1"/>
  <c r="B141" i="1"/>
  <c r="C141" i="1"/>
  <c r="F142" i="1" l="1"/>
  <c r="C142" i="1" s="1"/>
  <c r="B142" i="1" l="1"/>
  <c r="E142" i="1"/>
  <c r="D142" i="1" s="1"/>
  <c r="G143" i="1" s="1"/>
  <c r="F143" i="1" l="1"/>
  <c r="C143" i="1" s="1"/>
  <c r="B143" i="1" l="1"/>
  <c r="E143" i="1"/>
  <c r="D143" i="1" s="1"/>
  <c r="G144" i="1" s="1"/>
  <c r="F144" i="1" l="1"/>
  <c r="E144" i="1" s="1"/>
  <c r="D144" i="1" s="1"/>
  <c r="G145" i="1" s="1"/>
  <c r="B144" i="1"/>
  <c r="C144" i="1"/>
  <c r="F145" i="1" l="1"/>
  <c r="E145" i="1" s="1"/>
  <c r="D145" i="1" s="1"/>
  <c r="G146" i="1" s="1"/>
  <c r="B145" i="1"/>
  <c r="F146" i="1" s="1"/>
  <c r="C145" i="1" l="1"/>
  <c r="C146" i="1" s="1"/>
  <c r="B146" i="1"/>
  <c r="E146" i="1"/>
  <c r="D146" i="1" s="1"/>
  <c r="G147" i="1" s="1"/>
  <c r="F147" i="1" l="1"/>
  <c r="C147" i="1" l="1"/>
  <c r="E147" i="1"/>
  <c r="D147" i="1" s="1"/>
  <c r="G148" i="1" s="1"/>
  <c r="B147" i="1"/>
  <c r="F148" i="1" l="1"/>
  <c r="B148" i="1" s="1"/>
  <c r="C148" i="1" l="1"/>
  <c r="E148" i="1"/>
  <c r="D148" i="1" s="1"/>
  <c r="G149" i="1" s="1"/>
  <c r="F149" i="1" s="1"/>
  <c r="B149" i="1" s="1"/>
  <c r="C149" i="1" l="1"/>
  <c r="E149" i="1"/>
  <c r="D149" i="1" s="1"/>
  <c r="G150" i="1" s="1"/>
  <c r="F150" i="1" s="1"/>
  <c r="C150" i="1" l="1"/>
  <c r="B150" i="1"/>
  <c r="E150" i="1"/>
  <c r="D150" i="1" s="1"/>
  <c r="G151" i="1" s="1"/>
  <c r="F151" i="1" l="1"/>
  <c r="C151" i="1" s="1"/>
  <c r="B151" i="1" l="1"/>
  <c r="E151" i="1"/>
  <c r="D151" i="1" s="1"/>
  <c r="G152" i="1" s="1"/>
  <c r="F152" i="1" l="1"/>
  <c r="C152" i="1" s="1"/>
  <c r="B152" i="1"/>
  <c r="E152" i="1"/>
  <c r="D152" i="1" s="1"/>
  <c r="G153" i="1" s="1"/>
  <c r="F153" i="1" l="1"/>
  <c r="B153" i="1" s="1"/>
  <c r="C153" i="1" l="1"/>
  <c r="E153" i="1"/>
  <c r="D153" i="1" s="1"/>
  <c r="G154" i="1" s="1"/>
  <c r="F154" i="1" s="1"/>
  <c r="C154" i="1" s="1"/>
  <c r="B154" i="1" l="1"/>
  <c r="E154" i="1"/>
  <c r="D154" i="1" s="1"/>
  <c r="G155" i="1" s="1"/>
  <c r="F155" i="1" l="1"/>
  <c r="C155" i="1" s="1"/>
  <c r="E155" i="1" l="1"/>
  <c r="D155" i="1" s="1"/>
  <c r="G156" i="1" s="1"/>
  <c r="B155" i="1"/>
  <c r="F156" i="1" l="1"/>
  <c r="C156" i="1" s="1"/>
  <c r="B156" i="1"/>
  <c r="E156" i="1"/>
  <c r="D156" i="1" s="1"/>
  <c r="G157" i="1" s="1"/>
  <c r="F157" i="1" s="1"/>
  <c r="C157" i="1" s="1"/>
  <c r="B157" i="1" l="1"/>
  <c r="E157" i="1"/>
  <c r="D157" i="1" s="1"/>
  <c r="G158" i="1" s="1"/>
  <c r="F158" i="1" s="1"/>
  <c r="C158" i="1" s="1"/>
  <c r="E158" i="1" l="1"/>
  <c r="D158" i="1" s="1"/>
  <c r="G159" i="1" s="1"/>
  <c r="B158" i="1"/>
  <c r="F159" i="1" l="1"/>
  <c r="C159" i="1" s="1"/>
  <c r="B159" i="1" l="1"/>
  <c r="E159" i="1"/>
  <c r="D159" i="1" s="1"/>
  <c r="G160" i="1" s="1"/>
  <c r="F160" i="1" s="1"/>
  <c r="E160" i="1" l="1"/>
  <c r="D160" i="1" s="1"/>
  <c r="G161" i="1" s="1"/>
  <c r="B160" i="1"/>
  <c r="C160" i="1"/>
  <c r="F161" i="1" l="1"/>
  <c r="B161" i="1" l="1"/>
  <c r="E161" i="1"/>
  <c r="D161" i="1" s="1"/>
  <c r="G162" i="1" s="1"/>
  <c r="C161" i="1"/>
  <c r="F162" i="1" l="1"/>
  <c r="B162" i="1" s="1"/>
  <c r="C162" i="1" l="1"/>
  <c r="E162" i="1"/>
  <c r="D162" i="1" s="1"/>
  <c r="G163" i="1" s="1"/>
  <c r="F163" i="1" s="1"/>
  <c r="C163" i="1" l="1"/>
  <c r="B163" i="1"/>
  <c r="E163" i="1"/>
  <c r="D163" i="1" s="1"/>
  <c r="G164" i="1" s="1"/>
  <c r="F164" i="1" l="1"/>
  <c r="C164" i="1" s="1"/>
  <c r="E164" i="1" l="1"/>
  <c r="D164" i="1" s="1"/>
  <c r="G165" i="1" s="1"/>
  <c r="B164" i="1"/>
  <c r="F165" i="1" l="1"/>
  <c r="C165" i="1" s="1"/>
  <c r="B165" i="1" l="1"/>
  <c r="E165" i="1"/>
  <c r="D165" i="1" s="1"/>
  <c r="G166" i="1" s="1"/>
  <c r="F166" i="1" s="1"/>
  <c r="E166" i="1" s="1"/>
  <c r="D166" i="1" s="1"/>
  <c r="G167" i="1" s="1"/>
  <c r="B166" i="1" l="1"/>
  <c r="F167" i="1" s="1"/>
  <c r="E167" i="1" s="1"/>
  <c r="D167" i="1" s="1"/>
  <c r="G168" i="1" s="1"/>
  <c r="C166" i="1"/>
  <c r="C167" i="1" s="1"/>
  <c r="B167" i="1" l="1"/>
  <c r="F168" i="1" s="1"/>
  <c r="B168" i="1" s="1"/>
  <c r="C168" i="1" l="1"/>
  <c r="E168" i="1"/>
  <c r="D168" i="1" s="1"/>
  <c r="G169" i="1" s="1"/>
  <c r="F169" i="1" s="1"/>
  <c r="B169" i="1" s="1"/>
  <c r="C169" i="1" l="1"/>
  <c r="E169" i="1"/>
  <c r="D169" i="1" s="1"/>
  <c r="G170" i="1" s="1"/>
  <c r="F170" i="1" s="1"/>
  <c r="C170" i="1" s="1"/>
  <c r="E170" i="1" l="1"/>
  <c r="D170" i="1" s="1"/>
  <c r="G171" i="1" s="1"/>
  <c r="B170" i="1"/>
  <c r="F171" i="1" l="1"/>
  <c r="E171" i="1" s="1"/>
  <c r="D171" i="1" s="1"/>
  <c r="G172" i="1" s="1"/>
  <c r="C171" i="1" l="1"/>
  <c r="B171" i="1"/>
  <c r="F172" i="1" s="1"/>
  <c r="B172" i="1" s="1"/>
  <c r="C172" i="1" l="1"/>
  <c r="E172" i="1"/>
  <c r="D172" i="1" s="1"/>
  <c r="G173" i="1" s="1"/>
  <c r="F173" i="1" s="1"/>
  <c r="C173" i="1" l="1"/>
  <c r="B173" i="1"/>
  <c r="E173" i="1"/>
  <c r="D173" i="1" s="1"/>
  <c r="G174" i="1" s="1"/>
  <c r="F174" i="1" l="1"/>
  <c r="C174" i="1" s="1"/>
  <c r="E174" i="1" l="1"/>
  <c r="D174" i="1" s="1"/>
  <c r="G175" i="1" s="1"/>
  <c r="B174" i="1"/>
  <c r="F175" i="1" l="1"/>
  <c r="E175" i="1" s="1"/>
  <c r="D175" i="1" s="1"/>
  <c r="G176" i="1" s="1"/>
  <c r="B175" i="1"/>
  <c r="F176" i="1" s="1"/>
  <c r="C175" i="1" l="1"/>
  <c r="E176" i="1"/>
  <c r="D176" i="1" s="1"/>
  <c r="G177" i="1" s="1"/>
  <c r="B176" i="1"/>
  <c r="C176" i="1"/>
  <c r="F177" i="1" l="1"/>
  <c r="E177" i="1" l="1"/>
  <c r="D177" i="1" s="1"/>
  <c r="G178" i="1" s="1"/>
  <c r="B177" i="1"/>
  <c r="C177" i="1"/>
  <c r="F178" i="1" l="1"/>
  <c r="C178" i="1" s="1"/>
  <c r="E178" i="1" l="1"/>
  <c r="D178" i="1" s="1"/>
  <c r="G179" i="1" s="1"/>
  <c r="B178" i="1"/>
  <c r="F179" i="1" l="1"/>
  <c r="E179" i="1" s="1"/>
  <c r="D179" i="1" s="1"/>
  <c r="G180" i="1" s="1"/>
  <c r="C179" i="1" l="1"/>
  <c r="B179" i="1"/>
  <c r="F180" i="1" s="1"/>
  <c r="B180" i="1" l="1"/>
  <c r="E180" i="1"/>
  <c r="D180" i="1" s="1"/>
  <c r="G181" i="1" s="1"/>
  <c r="F181" i="1" s="1"/>
  <c r="C180" i="1"/>
  <c r="E181" i="1" l="1"/>
  <c r="D181" i="1" s="1"/>
  <c r="G182" i="1" s="1"/>
  <c r="B181" i="1"/>
  <c r="F182" i="1" s="1"/>
  <c r="C181" i="1"/>
  <c r="C182" i="1" l="1"/>
  <c r="B182" i="1"/>
  <c r="E182" i="1"/>
  <c r="D182" i="1" s="1"/>
  <c r="G183" i="1" s="1"/>
  <c r="F183" i="1" l="1"/>
  <c r="B183" i="1" l="1"/>
  <c r="E183" i="1"/>
  <c r="D183" i="1" s="1"/>
  <c r="G184" i="1" s="1"/>
  <c r="F184" i="1" s="1"/>
  <c r="C183" i="1"/>
  <c r="B184" i="1" l="1"/>
  <c r="E184" i="1"/>
  <c r="D184" i="1" s="1"/>
  <c r="G185" i="1" s="1"/>
  <c r="C184" i="1"/>
  <c r="F185" i="1" l="1"/>
  <c r="E185" i="1" l="1"/>
  <c r="D185" i="1" s="1"/>
  <c r="G186" i="1" s="1"/>
  <c r="B185" i="1"/>
  <c r="C185" i="1"/>
  <c r="F186" i="1" l="1"/>
  <c r="C186" i="1" s="1"/>
  <c r="E186" i="1" l="1"/>
  <c r="D186" i="1" s="1"/>
  <c r="G187" i="1" s="1"/>
  <c r="B186" i="1"/>
  <c r="F187" i="1" l="1"/>
  <c r="C187" i="1" s="1"/>
  <c r="B187" i="1" l="1"/>
  <c r="E187" i="1"/>
  <c r="D187" i="1" s="1"/>
  <c r="G188" i="1" s="1"/>
  <c r="F188" i="1" s="1"/>
  <c r="B188" i="1" l="1"/>
  <c r="C188" i="1"/>
  <c r="E188" i="1"/>
  <c r="D188" i="1" s="1"/>
  <c r="G189" i="1" s="1"/>
  <c r="F189" i="1" s="1"/>
  <c r="E189" i="1" l="1"/>
  <c r="D189" i="1" s="1"/>
  <c r="G190" i="1" s="1"/>
  <c r="B189" i="1"/>
  <c r="C189" i="1"/>
  <c r="F190" i="1" l="1"/>
  <c r="C190" i="1" s="1"/>
  <c r="B190" i="1" l="1"/>
  <c r="E190" i="1"/>
  <c r="D190" i="1" s="1"/>
  <c r="G191" i="1" s="1"/>
  <c r="F191" i="1" s="1"/>
  <c r="C191" i="1" s="1"/>
  <c r="B191" i="1" l="1"/>
  <c r="E191" i="1"/>
  <c r="D191" i="1" s="1"/>
  <c r="G192" i="1" s="1"/>
  <c r="F192" i="1" l="1"/>
  <c r="E192" i="1" s="1"/>
  <c r="D192" i="1" s="1"/>
  <c r="G193" i="1" s="1"/>
  <c r="C192" i="1" l="1"/>
  <c r="B192" i="1"/>
  <c r="F193" i="1" s="1"/>
  <c r="C193" i="1" s="1"/>
  <c r="E193" i="1" l="1"/>
  <c r="D193" i="1" s="1"/>
  <c r="G194" i="1" s="1"/>
  <c r="B193" i="1"/>
  <c r="F194" i="1" l="1"/>
  <c r="B194" i="1" s="1"/>
  <c r="E194" i="1" l="1"/>
  <c r="D194" i="1" s="1"/>
  <c r="G195" i="1" s="1"/>
  <c r="F195" i="1" s="1"/>
  <c r="B195" i="1" s="1"/>
  <c r="C194" i="1"/>
  <c r="C195" i="1" l="1"/>
  <c r="E195" i="1"/>
  <c r="D195" i="1" s="1"/>
  <c r="G196" i="1" s="1"/>
  <c r="F196" i="1" s="1"/>
  <c r="E196" i="1" l="1"/>
  <c r="D196" i="1" s="1"/>
  <c r="G197" i="1" s="1"/>
  <c r="B196" i="1"/>
  <c r="C196" i="1"/>
  <c r="F197" i="1" l="1"/>
  <c r="B197" i="1" l="1"/>
  <c r="E197" i="1"/>
  <c r="D197" i="1" s="1"/>
  <c r="G198" i="1" s="1"/>
  <c r="C197" i="1"/>
  <c r="F198" i="1" l="1"/>
  <c r="E198" i="1" l="1"/>
  <c r="D198" i="1" s="1"/>
  <c r="G199" i="1" s="1"/>
  <c r="B198" i="1"/>
  <c r="C198" i="1"/>
  <c r="F199" i="1" l="1"/>
  <c r="C199" i="1" s="1"/>
  <c r="B199" i="1" l="1"/>
  <c r="E199" i="1"/>
  <c r="D199" i="1" s="1"/>
  <c r="G200" i="1" s="1"/>
  <c r="F200" i="1" s="1"/>
  <c r="C200" i="1" s="1"/>
  <c r="B200" i="1" l="1"/>
  <c r="E200" i="1"/>
  <c r="D200" i="1" s="1"/>
  <c r="G201" i="1" s="1"/>
  <c r="F201" i="1" s="1"/>
  <c r="B201" i="1" l="1"/>
  <c r="E201" i="1"/>
  <c r="D201" i="1" s="1"/>
  <c r="G202" i="1" s="1"/>
  <c r="C201" i="1"/>
  <c r="F202" i="1" l="1"/>
  <c r="E202" i="1" l="1"/>
  <c r="D202" i="1" s="1"/>
  <c r="G203" i="1" s="1"/>
  <c r="B202" i="1"/>
  <c r="C202" i="1"/>
  <c r="F203" i="1" l="1"/>
  <c r="B203" i="1" l="1"/>
  <c r="E203" i="1"/>
  <c r="D203" i="1" s="1"/>
  <c r="G204" i="1" s="1"/>
  <c r="F204" i="1" s="1"/>
  <c r="C203" i="1"/>
  <c r="C204" i="1" l="1"/>
  <c r="E204" i="1"/>
  <c r="D204" i="1" s="1"/>
  <c r="G205" i="1" s="1"/>
  <c r="B204" i="1"/>
  <c r="F205" i="1" l="1"/>
  <c r="C205" i="1" s="1"/>
  <c r="E205" i="1" l="1"/>
  <c r="D205" i="1" s="1"/>
  <c r="G206" i="1" s="1"/>
  <c r="B205" i="1"/>
  <c r="F206" i="1" l="1"/>
  <c r="E206" i="1" s="1"/>
  <c r="D206" i="1" s="1"/>
  <c r="G207" i="1" s="1"/>
  <c r="C206" i="1" l="1"/>
  <c r="B206" i="1"/>
  <c r="F207" i="1" s="1"/>
  <c r="B207" i="1" l="1"/>
  <c r="E207" i="1"/>
  <c r="D207" i="1" s="1"/>
  <c r="G208" i="1" s="1"/>
  <c r="C207" i="1"/>
  <c r="F208" i="1" l="1"/>
  <c r="C208" i="1" s="1"/>
  <c r="B208" i="1" l="1"/>
  <c r="E208" i="1"/>
  <c r="D208" i="1" s="1"/>
  <c r="G209" i="1" s="1"/>
  <c r="F209" i="1" s="1"/>
  <c r="C209" i="1" s="1"/>
  <c r="B209" i="1" l="1"/>
  <c r="E209" i="1"/>
  <c r="D209" i="1" s="1"/>
  <c r="G210" i="1" s="1"/>
  <c r="F210" i="1" s="1"/>
  <c r="E210" i="1" l="1"/>
  <c r="D210" i="1" s="1"/>
  <c r="G211" i="1" s="1"/>
  <c r="B210" i="1"/>
  <c r="C210" i="1"/>
  <c r="F211" i="1" l="1"/>
  <c r="E211" i="1" l="1"/>
  <c r="D211" i="1" s="1"/>
  <c r="G212" i="1" s="1"/>
  <c r="B211" i="1"/>
  <c r="C211" i="1"/>
  <c r="F212" i="1" l="1"/>
  <c r="C212" i="1" s="1"/>
  <c r="E212" i="1" l="1"/>
  <c r="D212" i="1" s="1"/>
  <c r="G213" i="1" s="1"/>
  <c r="B212" i="1"/>
  <c r="F213" i="1" l="1"/>
  <c r="C213" i="1" s="1"/>
  <c r="B213" i="1" l="1"/>
  <c r="E213" i="1"/>
  <c r="D213" i="1" s="1"/>
  <c r="G214" i="1" s="1"/>
  <c r="F214" i="1" l="1"/>
  <c r="C214" i="1" s="1"/>
  <c r="E214" i="1" l="1"/>
  <c r="D214" i="1" s="1"/>
  <c r="G215" i="1" s="1"/>
  <c r="B214" i="1"/>
  <c r="F215" i="1" l="1"/>
  <c r="B215" i="1" s="1"/>
  <c r="E215" i="1" l="1"/>
  <c r="D215" i="1" s="1"/>
  <c r="G216" i="1" s="1"/>
  <c r="F216" i="1" s="1"/>
  <c r="B216" i="1" s="1"/>
  <c r="C215" i="1"/>
  <c r="C216" i="1" l="1"/>
  <c r="E216" i="1"/>
  <c r="D216" i="1" s="1"/>
  <c r="G217" i="1" s="1"/>
  <c r="F217" i="1" s="1"/>
  <c r="B217" i="1" s="1"/>
  <c r="C217" i="1" l="1"/>
  <c r="E217" i="1"/>
  <c r="D217" i="1" s="1"/>
  <c r="G218" i="1" s="1"/>
  <c r="F218" i="1" s="1"/>
  <c r="E218" i="1" s="1"/>
  <c r="D218" i="1" s="1"/>
  <c r="G219" i="1" s="1"/>
  <c r="C218" i="1" l="1"/>
  <c r="B218" i="1"/>
  <c r="F219" i="1" s="1"/>
  <c r="E219" i="1" s="1"/>
  <c r="D219" i="1" s="1"/>
  <c r="G220" i="1" s="1"/>
  <c r="B219" i="1" l="1"/>
  <c r="F220" i="1" s="1"/>
  <c r="C219" i="1"/>
  <c r="B220" i="1" l="1"/>
  <c r="E220" i="1"/>
  <c r="D220" i="1" s="1"/>
  <c r="G221" i="1" s="1"/>
  <c r="F221" i="1" s="1"/>
  <c r="E221" i="1" s="1"/>
  <c r="D221" i="1" s="1"/>
  <c r="G222" i="1" s="1"/>
  <c r="C220" i="1"/>
  <c r="C221" i="1" l="1"/>
  <c r="B221" i="1"/>
  <c r="F222" i="1" s="1"/>
  <c r="E222" i="1" s="1"/>
  <c r="D222" i="1" s="1"/>
  <c r="G223" i="1" s="1"/>
  <c r="B222" i="1" l="1"/>
  <c r="F223" i="1" s="1"/>
  <c r="E223" i="1" s="1"/>
  <c r="D223" i="1" s="1"/>
  <c r="G224" i="1" s="1"/>
  <c r="C222" i="1"/>
  <c r="B223" i="1" l="1"/>
  <c r="F224" i="1" s="1"/>
  <c r="B224" i="1" s="1"/>
  <c r="C223" i="1"/>
  <c r="C224" i="1" l="1"/>
  <c r="E224" i="1"/>
  <c r="D22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Eduardo Silva</author>
  </authors>
  <commentList>
    <comment ref="B4" authorId="0" shapeId="0" xr:uid="{8E33FC6B-4410-4989-B40B-53B948F6745B}">
      <text>
        <r>
          <rPr>
            <b/>
            <sz val="9"/>
            <color indexed="81"/>
            <rFont val="Segoe UI"/>
            <charset val="1"/>
          </rPr>
          <t>Eduardo Silva:</t>
        </r>
        <r>
          <rPr>
            <sz val="9"/>
            <color indexed="81"/>
            <rFont val="Segoe UI"/>
            <charset val="1"/>
          </rPr>
          <t xml:space="preserve">
Caixa, é o resto dos seus investimentos mensais que são guardados até que seja possível comprar 1 cota inteira.</t>
        </r>
      </text>
    </comment>
    <comment ref="C4" authorId="0" shapeId="0" xr:uid="{E9013DDF-95F0-4BD9-82F5-709942765481}">
      <text>
        <r>
          <rPr>
            <b/>
            <sz val="9"/>
            <color indexed="81"/>
            <rFont val="Segoe UI"/>
            <family val="2"/>
          </rPr>
          <t>Eduardo Silva:</t>
        </r>
        <r>
          <rPr>
            <sz val="9"/>
            <color indexed="81"/>
            <rFont val="Segoe UI"/>
            <family val="2"/>
          </rPr>
          <t xml:space="preserve">
Essa coluna vai retratar ao longo dos meses o tanto de dinheiro investido no fundo.</t>
        </r>
      </text>
    </comment>
    <comment ref="D4" authorId="0" shapeId="0" xr:uid="{9E13864F-D9DA-470C-8D65-E4A4A77F96B8}">
      <text>
        <r>
          <rPr>
            <b/>
            <sz val="9"/>
            <color indexed="81"/>
            <rFont val="Segoe UI"/>
            <family val="2"/>
          </rPr>
          <t>Eduardo Silva:</t>
        </r>
        <r>
          <rPr>
            <sz val="9"/>
            <color indexed="81"/>
            <rFont val="Segoe UI"/>
            <family val="2"/>
          </rPr>
          <t xml:space="preserve">
Essa coluna mostra a quantidade de cotas acumuladas ao longo dos meses</t>
        </r>
      </text>
    </comment>
    <comment ref="E4" authorId="0" shapeId="0" xr:uid="{DBA50CB3-8584-4EB1-86C1-D83906D8AA9B}">
      <text>
        <r>
          <rPr>
            <b/>
            <sz val="9"/>
            <color indexed="81"/>
            <rFont val="Segoe UI"/>
            <family val="2"/>
          </rPr>
          <t>Eduardo Silva:</t>
        </r>
        <r>
          <rPr>
            <sz val="9"/>
            <color indexed="81"/>
            <rFont val="Segoe UI"/>
            <family val="2"/>
          </rPr>
          <t xml:space="preserve">
Essa coluna vai mostrar o tanto de cotas que foi possivel comprar nesse mês em especifico, com o seu valor de investimento mensal junto com os lucros e seu caixa.</t>
        </r>
      </text>
    </comment>
    <comment ref="F4" authorId="0" shapeId="0" xr:uid="{D3435D98-B046-480C-A8FA-6214FC5F2B01}">
      <text>
        <r>
          <rPr>
            <b/>
            <sz val="9"/>
            <color indexed="81"/>
            <rFont val="Segoe UI"/>
            <family val="2"/>
          </rPr>
          <t>Eduardo Silva:</t>
        </r>
        <r>
          <rPr>
            <sz val="9"/>
            <color indexed="81"/>
            <rFont val="Segoe UI"/>
            <family val="2"/>
          </rPr>
          <t xml:space="preserve">
Essa coluna mostra o valor de investimento com a soma do seu caixa e seu yield.</t>
        </r>
      </text>
    </comment>
    <comment ref="G4" authorId="0" shapeId="0" xr:uid="{79A00108-935E-4F75-AACE-3737551C4D34}">
      <text>
        <r>
          <rPr>
            <b/>
            <sz val="9"/>
            <color indexed="81"/>
            <rFont val="Segoe UI"/>
            <family val="2"/>
          </rPr>
          <t>Eduardo Silva:</t>
        </r>
        <r>
          <rPr>
            <sz val="9"/>
            <color indexed="81"/>
            <rFont val="Segoe UI"/>
            <family val="2"/>
          </rPr>
          <t xml:space="preserve">
Aqui é sua colheita feliz representada mensalmente :)</t>
        </r>
      </text>
    </comment>
  </commentList>
</comments>
</file>

<file path=xl/sharedStrings.xml><?xml version="1.0" encoding="utf-8"?>
<sst xmlns="http://schemas.openxmlformats.org/spreadsheetml/2006/main" count="12" uniqueCount="12">
  <si>
    <t>Valor Investido</t>
  </si>
  <si>
    <t>Valor da Cota</t>
  </si>
  <si>
    <t>Ultimo Rendimento</t>
  </si>
  <si>
    <t>Caixa</t>
  </si>
  <si>
    <t>Mês</t>
  </si>
  <si>
    <t>Dividendo Mensal</t>
  </si>
  <si>
    <t>QTD cotas compradas</t>
  </si>
  <si>
    <t>QTD cotas acumuladas</t>
  </si>
  <si>
    <t>TOTAL Investido</t>
  </si>
  <si>
    <t>SIMBOLO FII</t>
  </si>
  <si>
    <t>Valor que deseja Investir por mês</t>
  </si>
  <si>
    <t>VGHF11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</si>
</sst>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44" fontId="0" fillId="0" borderId="0" xfId="2" applyFont="1" applyAlignment="1">
      <alignment horizontal="center"/>
    </xf>
    <xf numFmtId="44" fontId="0" fillId="0" borderId="0" xfId="2" applyFont="1"/>
    <xf numFmtId="4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2" applyNumberFormat="1" applyFont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4" fontId="0" fillId="2" borderId="0" xfId="2" applyFont="1" applyFill="1" applyBorder="1" applyAlignment="1">
      <alignment horizontal="center"/>
    </xf>
    <xf numFmtId="44" fontId="0" fillId="0" borderId="0" xfId="2" applyFont="1" applyBorder="1"/>
    <xf numFmtId="164" fontId="0" fillId="0" borderId="0" xfId="0" applyNumberFormat="1"/>
    <xf numFmtId="44" fontId="0" fillId="0" borderId="0" xfId="2" applyFont="1" applyBorder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5" fillId="0" borderId="0" xfId="0" applyFont="1" applyFill="1"/>
    <xf numFmtId="0" fontId="5" fillId="3" borderId="0" xfId="0" applyFont="1" applyFill="1" applyAlignment="1">
      <alignment vertical="center"/>
    </xf>
    <xf numFmtId="44" fontId="5" fillId="3" borderId="0" xfId="2" applyFont="1" applyFill="1"/>
    <xf numFmtId="0" fontId="5" fillId="3" borderId="0" xfId="0" applyFont="1" applyFill="1"/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336176</xdr:colOff>
      <xdr:row>0</xdr:row>
      <xdr:rowOff>78442</xdr:rowOff>
    </xdr:from>
    <xdr:to>
      <xdr:col>4</xdr:col>
      <xdr:colOff>134471</xdr:colOff>
      <xdr:row>1</xdr:row>
      <xdr:rowOff>212912</xdr:rowOff>
    </xdr:to>
    <xdr:sp macro="[0]!BuscarInformacoes" textlink="">
      <xdr:nvSpPr>
        <xdr:cNvPr id="4" name="Fluxograma: Processo Alternativo 3">
          <a:extLst>
            <a:ext uri="{FF2B5EF4-FFF2-40B4-BE49-F238E27FC236}">
              <a16:creationId xmlns:a16="http://schemas.microsoft.com/office/drawing/2014/main" id="{9F377A9E-E1FE-4DDD-9C7E-CBE1761D1559}"/>
            </a:ext>
          </a:extLst>
        </xdr:cNvPr>
        <xdr:cNvSpPr/>
      </xdr:nvSpPr>
      <xdr:spPr>
        <a:xfrm>
          <a:off x="4191000" y="78442"/>
          <a:ext cx="1524000" cy="403411"/>
        </a:xfrm>
        <a:prstGeom prst="flowChartAlternateProcess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SIMULAR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73F42-B74E-4F55-A023-9F30E671F4A8}">
  <sheetPr codeName="Planilha1"/>
  <dimension ref="A1:K413"/>
  <sheetViews>
    <sheetView tabSelected="1" zoomScale="85" zoomScaleNormal="85" workbookViewId="0">
      <selection activeCell="H11" sqref="H11"/>
    </sheetView>
  </sheetViews>
  <sheetFormatPr defaultRowHeight="18.75" x14ac:dyDescent="0.3"/>
  <cols>
    <col min="1" max="1" width="22.85546875" style="1" customWidth="1"/>
    <col min="2" max="3" width="17.42578125" style="1" customWidth="1"/>
    <col min="4" max="4" width="25.85546875" style="1" customWidth="1"/>
    <col min="5" max="5" width="23" customWidth="1"/>
    <col min="6" max="6" width="18.5703125" customWidth="1"/>
    <col min="7" max="7" width="26.28515625" style="21" customWidth="1"/>
    <col min="8" max="8" width="22.85546875" customWidth="1"/>
    <col min="9" max="9" width="24" customWidth="1"/>
  </cols>
  <sheetData>
    <row r="1" spans="1:11" ht="21" customHeight="1" thickBot="1" x14ac:dyDescent="0.35">
      <c r="A1" s="10" t="s">
        <v>9</v>
      </c>
      <c r="B1" s="11" t="s">
        <v>10</v>
      </c>
      <c r="C1" s="11"/>
      <c r="G1" s="18"/>
    </row>
    <row r="2" spans="1:11" ht="21" customHeight="1" thickBot="1" x14ac:dyDescent="0.35">
      <c r="A2" s="22" t="s">
        <v>11</v>
      </c>
      <c r="B2" s="23">
        <v>1500</v>
      </c>
      <c r="C2" s="24"/>
      <c r="G2" s="18"/>
      <c r="H2" s="14"/>
    </row>
    <row r="3" spans="1:11" x14ac:dyDescent="0.3">
      <c r="G3" s="18"/>
    </row>
    <row r="4" spans="1:11" s="8" customFormat="1" ht="27" customHeight="1" x14ac:dyDescent="0.25">
      <c r="A4" s="7" t="s">
        <v>4</v>
      </c>
      <c r="B4" s="7" t="s">
        <v>3</v>
      </c>
      <c r="C4" s="7" t="s">
        <v>8</v>
      </c>
      <c r="D4" s="7" t="s">
        <v>7</v>
      </c>
      <c r="E4" s="8" t="s">
        <v>6</v>
      </c>
      <c r="F4" s="16" t="s">
        <v>0</v>
      </c>
      <c r="G4" s="19" t="s">
        <v>5</v>
      </c>
      <c r="H4" s="17" t="s">
        <v>1</v>
      </c>
      <c r="I4" s="17" t="s">
        <v>2</v>
      </c>
    </row>
    <row r="5" spans="1:11" x14ac:dyDescent="0.3">
      <c r="A5" s="1">
        <v>1</v>
      </c>
      <c r="B5" s="4">
        <f>MOD(F5,$H$5) + G5</f>
        <v>7.6000000000000583</v>
      </c>
      <c r="C5" s="4">
        <f>F5</f>
        <v>1500</v>
      </c>
      <c r="D5" s="5">
        <f>E5</f>
        <v>164</v>
      </c>
      <c r="E5" s="6">
        <f>ROUNDDOWN(F5/$H$5,0)</f>
        <v>164</v>
      </c>
      <c r="F5" s="12">
        <f>B2</f>
        <v>1500</v>
      </c>
      <c r="G5" s="20">
        <v>0</v>
      </c>
      <c r="H5" s="13">
        <v>9.1</v>
      </c>
      <c r="I5" s="15">
        <v>0.09</v>
      </c>
    </row>
    <row r="6" spans="1:11" x14ac:dyDescent="0.3">
      <c r="A6" s="1">
        <v>2</v>
      </c>
      <c r="B6" s="4">
        <f>MOD(F6,$H$5)</f>
        <v>2.6600000000001867</v>
      </c>
      <c r="C6" s="4">
        <f>C5+F6</f>
        <v>3022.36</v>
      </c>
      <c r="D6" s="5">
        <f>ROUNDDOWN(D5+E6,0)</f>
        <v>331</v>
      </c>
      <c r="E6" s="6">
        <f>ROUNDDOWN(F6/$H$5,0)</f>
        <v>167</v>
      </c>
      <c r="F6" s="2">
        <f>$F$5+B5+G6</f>
        <v>1522.3600000000001</v>
      </c>
      <c r="G6" s="20">
        <f>D5*$I$5</f>
        <v>14.76</v>
      </c>
      <c r="K6" s="9"/>
    </row>
    <row r="7" spans="1:11" x14ac:dyDescent="0.3">
      <c r="A7" s="1">
        <v>3</v>
      </c>
      <c r="B7" s="4">
        <f>MOD(F7,$H$5)</f>
        <v>3.6500000000001052</v>
      </c>
      <c r="C7" s="4">
        <f>C6+F7</f>
        <v>4554.8100000000004</v>
      </c>
      <c r="D7" s="5">
        <f>ROUNDDOWN(D6+E7,0)</f>
        <v>499</v>
      </c>
      <c r="E7" s="6">
        <f>ROUNDDOWN(F7/$H$5,0)</f>
        <v>168</v>
      </c>
      <c r="F7" s="2">
        <f>$F$5+B6+G7</f>
        <v>1532.45</v>
      </c>
      <c r="G7" s="20">
        <f>D6*$I$5</f>
        <v>29.79</v>
      </c>
    </row>
    <row r="8" spans="1:11" x14ac:dyDescent="0.3">
      <c r="A8" s="1">
        <v>4</v>
      </c>
      <c r="B8" s="4">
        <f>MOD(F8,$H$5)</f>
        <v>1.5600000000002332</v>
      </c>
      <c r="C8" s="4">
        <f t="shared" ref="C8:C71" si="0">C7+F8</f>
        <v>6103.3700000000008</v>
      </c>
      <c r="D8" s="5">
        <f>ROUNDDOWN(D7+E8,0)</f>
        <v>669</v>
      </c>
      <c r="E8" s="6">
        <f>ROUNDDOWN(F8/$H$5,0)</f>
        <v>170</v>
      </c>
      <c r="F8" s="2">
        <f t="shared" ref="F7:F70" si="1">$F$5+B7+G8</f>
        <v>1548.5600000000002</v>
      </c>
      <c r="G8" s="20">
        <f>D7*$I$5</f>
        <v>44.91</v>
      </c>
      <c r="I8" s="3"/>
    </row>
    <row r="9" spans="1:11" x14ac:dyDescent="0.3">
      <c r="A9" s="1">
        <v>5</v>
      </c>
      <c r="B9" s="4">
        <f t="shared" ref="B9:B16" si="2">MOD(F9,$H$5)</f>
        <v>5.6700000000002699</v>
      </c>
      <c r="C9" s="4">
        <f t="shared" si="0"/>
        <v>7665.1400000000012</v>
      </c>
      <c r="D9" s="5">
        <f t="shared" ref="D9:D16" si="3">ROUNDDOWN(D8+E9,0)</f>
        <v>840</v>
      </c>
      <c r="E9" s="6">
        <f t="shared" ref="E9:E64" si="4">ROUNDDOWN(F9/$H$5,0)</f>
        <v>171</v>
      </c>
      <c r="F9" s="2">
        <f t="shared" si="1"/>
        <v>1561.7700000000002</v>
      </c>
      <c r="G9" s="20">
        <f t="shared" ref="G9:G16" si="5">D8*$I$5</f>
        <v>60.21</v>
      </c>
      <c r="I9" s="3"/>
    </row>
    <row r="10" spans="1:11" x14ac:dyDescent="0.3">
      <c r="A10" s="1">
        <v>6</v>
      </c>
      <c r="B10" s="4">
        <f t="shared" si="2"/>
        <v>6.9700000000002706</v>
      </c>
      <c r="C10" s="4">
        <f t="shared" si="0"/>
        <v>9246.4100000000017</v>
      </c>
      <c r="D10" s="5">
        <f t="shared" si="3"/>
        <v>1013</v>
      </c>
      <c r="E10" s="6">
        <f t="shared" si="4"/>
        <v>173</v>
      </c>
      <c r="F10" s="2">
        <f t="shared" si="1"/>
        <v>1581.2700000000002</v>
      </c>
      <c r="G10" s="20">
        <f t="shared" si="5"/>
        <v>75.599999999999994</v>
      </c>
      <c r="I10" s="3"/>
    </row>
    <row r="11" spans="1:11" x14ac:dyDescent="0.3">
      <c r="A11" s="1">
        <v>7</v>
      </c>
      <c r="B11" s="4">
        <f t="shared" si="2"/>
        <v>5.6400000000003896</v>
      </c>
      <c r="C11" s="4">
        <f t="shared" si="0"/>
        <v>10844.550000000003</v>
      </c>
      <c r="D11" s="5">
        <f t="shared" si="3"/>
        <v>1188</v>
      </c>
      <c r="E11" s="6">
        <f t="shared" si="4"/>
        <v>175</v>
      </c>
      <c r="F11" s="2">
        <f t="shared" si="1"/>
        <v>1598.1400000000003</v>
      </c>
      <c r="G11" s="20">
        <f t="shared" si="5"/>
        <v>91.17</v>
      </c>
      <c r="I11" s="3"/>
    </row>
    <row r="12" spans="1:11" x14ac:dyDescent="0.3">
      <c r="A12" s="1">
        <v>8</v>
      </c>
      <c r="B12" s="4">
        <f t="shared" si="2"/>
        <v>1.8600000000004631</v>
      </c>
      <c r="C12" s="4">
        <f t="shared" si="0"/>
        <v>12457.110000000004</v>
      </c>
      <c r="D12" s="5">
        <f t="shared" si="3"/>
        <v>1365</v>
      </c>
      <c r="E12" s="6">
        <f t="shared" si="4"/>
        <v>177</v>
      </c>
      <c r="F12" s="2">
        <f t="shared" si="1"/>
        <v>1612.5600000000004</v>
      </c>
      <c r="G12" s="20">
        <f t="shared" si="5"/>
        <v>106.92</v>
      </c>
      <c r="I12" s="3"/>
    </row>
    <row r="13" spans="1:11" x14ac:dyDescent="0.3">
      <c r="A13" s="1">
        <v>9</v>
      </c>
      <c r="B13" s="4">
        <f t="shared" si="2"/>
        <v>4.910000000000327</v>
      </c>
      <c r="C13" s="4">
        <f t="shared" si="0"/>
        <v>14081.820000000005</v>
      </c>
      <c r="D13" s="5">
        <f t="shared" si="3"/>
        <v>1543</v>
      </c>
      <c r="E13" s="6">
        <f t="shared" si="4"/>
        <v>178</v>
      </c>
      <c r="F13" s="2">
        <f t="shared" si="1"/>
        <v>1624.7100000000003</v>
      </c>
      <c r="G13" s="20">
        <f t="shared" si="5"/>
        <v>122.85</v>
      </c>
      <c r="I13" s="3"/>
    </row>
    <row r="14" spans="1:11" x14ac:dyDescent="0.3">
      <c r="A14" s="1">
        <v>10</v>
      </c>
      <c r="B14" s="4">
        <f t="shared" si="2"/>
        <v>5.780000000000264</v>
      </c>
      <c r="C14" s="4">
        <f t="shared" si="0"/>
        <v>15725.600000000006</v>
      </c>
      <c r="D14" s="5">
        <f t="shared" si="3"/>
        <v>1723</v>
      </c>
      <c r="E14" s="6">
        <f t="shared" si="4"/>
        <v>180</v>
      </c>
      <c r="F14" s="2">
        <f t="shared" si="1"/>
        <v>1643.7800000000002</v>
      </c>
      <c r="G14" s="20">
        <f t="shared" si="5"/>
        <v>138.87</v>
      </c>
      <c r="I14" s="3"/>
    </row>
    <row r="15" spans="1:11" x14ac:dyDescent="0.3">
      <c r="A15" s="1">
        <v>11</v>
      </c>
      <c r="B15" s="4">
        <f t="shared" si="2"/>
        <v>4.6500000000002011</v>
      </c>
      <c r="C15" s="4">
        <f t="shared" si="0"/>
        <v>17386.450000000004</v>
      </c>
      <c r="D15" s="5">
        <f t="shared" si="3"/>
        <v>1905</v>
      </c>
      <c r="E15" s="6">
        <f t="shared" si="4"/>
        <v>182</v>
      </c>
      <c r="F15" s="2">
        <f t="shared" si="1"/>
        <v>1660.8500000000001</v>
      </c>
      <c r="G15" s="20">
        <f t="shared" si="5"/>
        <v>155.07</v>
      </c>
      <c r="I15" s="3"/>
    </row>
    <row r="16" spans="1:11" x14ac:dyDescent="0.3">
      <c r="A16" s="1">
        <v>12</v>
      </c>
      <c r="B16" s="4">
        <f t="shared" si="2"/>
        <v>1.7000000000002018</v>
      </c>
      <c r="C16" s="4">
        <f t="shared" si="0"/>
        <v>19062.550000000003</v>
      </c>
      <c r="D16" s="5">
        <f t="shared" si="3"/>
        <v>2089</v>
      </c>
      <c r="E16" s="6">
        <f t="shared" si="4"/>
        <v>184</v>
      </c>
      <c r="F16" s="2">
        <f t="shared" si="1"/>
        <v>1676.1000000000001</v>
      </c>
      <c r="G16" s="20">
        <f>D15*$I$5</f>
        <v>171.45</v>
      </c>
      <c r="I16" s="3"/>
    </row>
    <row r="17" spans="1:7" x14ac:dyDescent="0.3">
      <c r="A17" s="1">
        <v>13</v>
      </c>
      <c r="B17" s="4">
        <f t="shared" ref="B17:B64" si="6">MOD(F17,$H$5)</f>
        <v>6.2100000000003295</v>
      </c>
      <c r="C17" s="4">
        <f t="shared" si="0"/>
        <v>20752.260000000002</v>
      </c>
      <c r="D17" s="5">
        <f t="shared" ref="D17:D64" si="7">ROUNDDOWN(D16+E17,0)</f>
        <v>2274</v>
      </c>
      <c r="E17" s="6">
        <f t="shared" si="4"/>
        <v>185</v>
      </c>
      <c r="F17" s="2">
        <f t="shared" si="1"/>
        <v>1689.7100000000003</v>
      </c>
      <c r="G17" s="20">
        <f t="shared" ref="G17:G64" si="8">D16*$I$5</f>
        <v>188.01</v>
      </c>
    </row>
    <row r="18" spans="1:7" x14ac:dyDescent="0.3">
      <c r="A18" s="1">
        <v>14</v>
      </c>
      <c r="B18" s="4">
        <f t="shared" si="6"/>
        <v>7.0000000000412399E-2</v>
      </c>
      <c r="C18" s="4">
        <f t="shared" si="0"/>
        <v>22463.13</v>
      </c>
      <c r="D18" s="5">
        <f t="shared" si="7"/>
        <v>2462</v>
      </c>
      <c r="E18" s="6">
        <f t="shared" si="4"/>
        <v>188</v>
      </c>
      <c r="F18" s="2">
        <f t="shared" si="1"/>
        <v>1710.8700000000003</v>
      </c>
      <c r="G18" s="20">
        <f t="shared" si="8"/>
        <v>204.66</v>
      </c>
    </row>
    <row r="19" spans="1:7" x14ac:dyDescent="0.3">
      <c r="A19" s="1">
        <v>15</v>
      </c>
      <c r="B19" s="4">
        <f t="shared" si="6"/>
        <v>1.7500000000003855</v>
      </c>
      <c r="C19" s="4">
        <f t="shared" si="0"/>
        <v>24184.780000000002</v>
      </c>
      <c r="D19" s="5">
        <f t="shared" si="7"/>
        <v>2651</v>
      </c>
      <c r="E19" s="6">
        <f t="shared" si="4"/>
        <v>189</v>
      </c>
      <c r="F19" s="2">
        <f t="shared" si="1"/>
        <v>1721.6500000000003</v>
      </c>
      <c r="G19" s="20">
        <f t="shared" si="8"/>
        <v>221.57999999999998</v>
      </c>
    </row>
    <row r="20" spans="1:7" x14ac:dyDescent="0.3">
      <c r="A20" s="1">
        <v>16</v>
      </c>
      <c r="B20" s="4">
        <f t="shared" si="6"/>
        <v>2.2400000000004407</v>
      </c>
      <c r="C20" s="4">
        <f t="shared" si="0"/>
        <v>25925.120000000003</v>
      </c>
      <c r="D20" s="5">
        <f t="shared" si="7"/>
        <v>2842</v>
      </c>
      <c r="E20" s="6">
        <f t="shared" si="4"/>
        <v>191</v>
      </c>
      <c r="F20" s="2">
        <f t="shared" si="1"/>
        <v>1740.3400000000004</v>
      </c>
      <c r="G20" s="20">
        <f t="shared" si="8"/>
        <v>238.59</v>
      </c>
    </row>
    <row r="21" spans="1:7" x14ac:dyDescent="0.3">
      <c r="A21" s="1">
        <v>17</v>
      </c>
      <c r="B21" s="4">
        <f t="shared" si="6"/>
        <v>1.7200000000005051</v>
      </c>
      <c r="C21" s="4">
        <f t="shared" si="0"/>
        <v>27683.140000000003</v>
      </c>
      <c r="D21" s="5">
        <f t="shared" si="7"/>
        <v>3035</v>
      </c>
      <c r="E21" s="6">
        <f t="shared" si="4"/>
        <v>193</v>
      </c>
      <c r="F21" s="2">
        <f t="shared" si="1"/>
        <v>1758.0200000000004</v>
      </c>
      <c r="G21" s="20">
        <f t="shared" si="8"/>
        <v>255.78</v>
      </c>
    </row>
    <row r="22" spans="1:7" x14ac:dyDescent="0.3">
      <c r="A22" s="1">
        <v>18</v>
      </c>
      <c r="B22" s="4">
        <f t="shared" si="6"/>
        <v>0.37000000000041489</v>
      </c>
      <c r="C22" s="4">
        <f t="shared" si="0"/>
        <v>29458.010000000002</v>
      </c>
      <c r="D22" s="5">
        <f t="shared" si="7"/>
        <v>3230</v>
      </c>
      <c r="E22" s="6">
        <f t="shared" si="4"/>
        <v>195</v>
      </c>
      <c r="F22" s="2">
        <f t="shared" si="1"/>
        <v>1774.8700000000003</v>
      </c>
      <c r="G22" s="20">
        <f t="shared" si="8"/>
        <v>273.14999999999998</v>
      </c>
    </row>
    <row r="23" spans="1:7" x14ac:dyDescent="0.3">
      <c r="A23" s="1">
        <v>19</v>
      </c>
      <c r="B23" s="4">
        <f t="shared" si="6"/>
        <v>7.4700000000004607</v>
      </c>
      <c r="C23" s="4">
        <f t="shared" si="0"/>
        <v>31249.08</v>
      </c>
      <c r="D23" s="5">
        <f t="shared" si="7"/>
        <v>3426</v>
      </c>
      <c r="E23" s="6">
        <f t="shared" si="4"/>
        <v>196</v>
      </c>
      <c r="F23" s="2">
        <f t="shared" si="1"/>
        <v>1791.0700000000004</v>
      </c>
      <c r="G23" s="20">
        <f t="shared" si="8"/>
        <v>290.7</v>
      </c>
    </row>
    <row r="24" spans="1:7" x14ac:dyDescent="0.3">
      <c r="A24" s="1">
        <v>20</v>
      </c>
      <c r="B24" s="4">
        <f t="shared" si="6"/>
        <v>4.9100000000004709</v>
      </c>
      <c r="C24" s="4">
        <f t="shared" si="0"/>
        <v>33064.89</v>
      </c>
      <c r="D24" s="5">
        <f t="shared" si="7"/>
        <v>3625</v>
      </c>
      <c r="E24" s="6">
        <f t="shared" si="4"/>
        <v>199</v>
      </c>
      <c r="F24" s="2">
        <f t="shared" si="1"/>
        <v>1815.8100000000004</v>
      </c>
      <c r="G24" s="20">
        <f t="shared" si="8"/>
        <v>308.33999999999997</v>
      </c>
    </row>
    <row r="25" spans="1:7" x14ac:dyDescent="0.3">
      <c r="A25" s="1">
        <v>21</v>
      </c>
      <c r="B25" s="4">
        <f t="shared" si="6"/>
        <v>2.060000000000608</v>
      </c>
      <c r="C25" s="4">
        <f t="shared" si="0"/>
        <v>34896.050000000003</v>
      </c>
      <c r="D25" s="5">
        <f t="shared" si="7"/>
        <v>3826</v>
      </c>
      <c r="E25" s="6">
        <f t="shared" si="4"/>
        <v>201</v>
      </c>
      <c r="F25" s="2">
        <f t="shared" si="1"/>
        <v>1831.1600000000005</v>
      </c>
      <c r="G25" s="20">
        <f t="shared" si="8"/>
        <v>326.25</v>
      </c>
    </row>
    <row r="26" spans="1:7" x14ac:dyDescent="0.3">
      <c r="A26" s="1">
        <v>22</v>
      </c>
      <c r="B26" s="4">
        <f t="shared" si="6"/>
        <v>8.2000000000006175</v>
      </c>
      <c r="C26" s="4">
        <f t="shared" si="0"/>
        <v>36742.450000000004</v>
      </c>
      <c r="D26" s="5">
        <f t="shared" si="7"/>
        <v>4028</v>
      </c>
      <c r="E26" s="6">
        <f t="shared" si="4"/>
        <v>202</v>
      </c>
      <c r="F26" s="2">
        <f t="shared" si="1"/>
        <v>1846.4000000000005</v>
      </c>
      <c r="G26" s="20">
        <f t="shared" si="8"/>
        <v>344.34</v>
      </c>
    </row>
    <row r="27" spans="1:7" x14ac:dyDescent="0.3">
      <c r="A27" s="1">
        <v>23</v>
      </c>
      <c r="B27" s="4">
        <f t="shared" si="6"/>
        <v>5.2200000000007822</v>
      </c>
      <c r="C27" s="4">
        <f t="shared" si="0"/>
        <v>38613.170000000006</v>
      </c>
      <c r="D27" s="5">
        <f t="shared" si="7"/>
        <v>4233</v>
      </c>
      <c r="E27" s="6">
        <f t="shared" si="4"/>
        <v>205</v>
      </c>
      <c r="F27" s="2">
        <f t="shared" si="1"/>
        <v>1870.7200000000007</v>
      </c>
      <c r="G27" s="20">
        <f t="shared" si="8"/>
        <v>362.52</v>
      </c>
    </row>
    <row r="28" spans="1:7" x14ac:dyDescent="0.3">
      <c r="A28" s="1">
        <v>24</v>
      </c>
      <c r="B28" s="4">
        <f t="shared" si="6"/>
        <v>2.4900000000008102</v>
      </c>
      <c r="C28" s="4">
        <f t="shared" si="0"/>
        <v>40499.360000000008</v>
      </c>
      <c r="D28" s="5">
        <f t="shared" si="7"/>
        <v>4440</v>
      </c>
      <c r="E28" s="6">
        <f t="shared" si="4"/>
        <v>207</v>
      </c>
      <c r="F28" s="2">
        <f t="shared" si="1"/>
        <v>1886.1900000000007</v>
      </c>
      <c r="G28" s="20">
        <f t="shared" si="8"/>
        <v>380.96999999999997</v>
      </c>
    </row>
    <row r="29" spans="1:7" x14ac:dyDescent="0.3">
      <c r="A29" s="1">
        <v>25</v>
      </c>
      <c r="B29" s="4">
        <f t="shared" si="6"/>
        <v>0.19000000000090189</v>
      </c>
      <c r="C29" s="4">
        <f t="shared" si="0"/>
        <v>42401.450000000012</v>
      </c>
      <c r="D29" s="5">
        <f t="shared" si="7"/>
        <v>4649</v>
      </c>
      <c r="E29" s="6">
        <f t="shared" si="4"/>
        <v>209</v>
      </c>
      <c r="F29" s="2">
        <f t="shared" si="1"/>
        <v>1902.0900000000008</v>
      </c>
      <c r="G29" s="20">
        <f t="shared" si="8"/>
        <v>399.59999999999997</v>
      </c>
    </row>
    <row r="30" spans="1:7" x14ac:dyDescent="0.3">
      <c r="A30" s="1">
        <v>26</v>
      </c>
      <c r="B30" s="4">
        <f t="shared" si="6"/>
        <v>7.6000000000008932</v>
      </c>
      <c r="C30" s="4">
        <f t="shared" si="0"/>
        <v>44320.05000000001</v>
      </c>
      <c r="D30" s="5">
        <f t="shared" si="7"/>
        <v>4859</v>
      </c>
      <c r="E30" s="6">
        <f t="shared" si="4"/>
        <v>210</v>
      </c>
      <c r="F30" s="2">
        <f t="shared" si="1"/>
        <v>1918.6000000000008</v>
      </c>
      <c r="G30" s="20">
        <f t="shared" si="8"/>
        <v>418.40999999999997</v>
      </c>
    </row>
    <row r="31" spans="1:7" x14ac:dyDescent="0.3">
      <c r="A31" s="1">
        <v>27</v>
      </c>
      <c r="B31" s="4">
        <f t="shared" si="6"/>
        <v>6.6100000000008396</v>
      </c>
      <c r="C31" s="4">
        <f t="shared" si="0"/>
        <v>46264.960000000014</v>
      </c>
      <c r="D31" s="5">
        <f t="shared" si="7"/>
        <v>5072</v>
      </c>
      <c r="E31" s="6">
        <f t="shared" si="4"/>
        <v>213</v>
      </c>
      <c r="F31" s="2">
        <f t="shared" si="1"/>
        <v>1944.9100000000008</v>
      </c>
      <c r="G31" s="20">
        <f t="shared" si="8"/>
        <v>437.31</v>
      </c>
    </row>
    <row r="32" spans="1:7" x14ac:dyDescent="0.3">
      <c r="A32" s="1">
        <v>28</v>
      </c>
      <c r="B32" s="4">
        <f t="shared" si="6"/>
        <v>6.590000000000904</v>
      </c>
      <c r="C32" s="4">
        <f t="shared" si="0"/>
        <v>48228.050000000017</v>
      </c>
      <c r="D32" s="5">
        <f t="shared" si="7"/>
        <v>5287</v>
      </c>
      <c r="E32" s="6">
        <f t="shared" si="4"/>
        <v>215</v>
      </c>
      <c r="F32" s="2">
        <f t="shared" si="1"/>
        <v>1963.0900000000008</v>
      </c>
      <c r="G32" s="20">
        <f t="shared" si="8"/>
        <v>456.47999999999996</v>
      </c>
    </row>
    <row r="33" spans="1:7" x14ac:dyDescent="0.3">
      <c r="A33" s="1">
        <v>29</v>
      </c>
      <c r="B33" s="4">
        <f t="shared" si="6"/>
        <v>7.720000000000832</v>
      </c>
      <c r="C33" s="4">
        <f t="shared" si="0"/>
        <v>50210.470000000016</v>
      </c>
      <c r="D33" s="5">
        <f t="shared" si="7"/>
        <v>5504</v>
      </c>
      <c r="E33" s="6">
        <f t="shared" si="4"/>
        <v>217</v>
      </c>
      <c r="F33" s="2">
        <f t="shared" si="1"/>
        <v>1982.4200000000008</v>
      </c>
      <c r="G33" s="20">
        <f t="shared" si="8"/>
        <v>475.83</v>
      </c>
    </row>
    <row r="34" spans="1:7" x14ac:dyDescent="0.3">
      <c r="A34" s="1">
        <v>30</v>
      </c>
      <c r="B34" s="4">
        <f t="shared" si="6"/>
        <v>1.0800000000009149</v>
      </c>
      <c r="C34" s="4">
        <f t="shared" si="0"/>
        <v>52213.550000000017</v>
      </c>
      <c r="D34" s="5">
        <f t="shared" si="7"/>
        <v>5724</v>
      </c>
      <c r="E34" s="6">
        <f t="shared" si="4"/>
        <v>220</v>
      </c>
      <c r="F34" s="2">
        <f t="shared" si="1"/>
        <v>2003.0800000000008</v>
      </c>
      <c r="G34" s="20">
        <f t="shared" si="8"/>
        <v>495.35999999999996</v>
      </c>
    </row>
    <row r="35" spans="1:7" x14ac:dyDescent="0.3">
      <c r="A35" s="1">
        <v>31</v>
      </c>
      <c r="B35" s="4">
        <f t="shared" si="6"/>
        <v>5.1400000000007697</v>
      </c>
      <c r="C35" s="4">
        <f t="shared" si="0"/>
        <v>54229.790000000015</v>
      </c>
      <c r="D35" s="5">
        <f t="shared" si="7"/>
        <v>5945</v>
      </c>
      <c r="E35" s="6">
        <f t="shared" si="4"/>
        <v>221</v>
      </c>
      <c r="F35" s="2">
        <f t="shared" si="1"/>
        <v>2016.2400000000007</v>
      </c>
      <c r="G35" s="20">
        <f t="shared" si="8"/>
        <v>515.16</v>
      </c>
    </row>
    <row r="36" spans="1:7" x14ac:dyDescent="0.3">
      <c r="A36" s="1">
        <v>32</v>
      </c>
      <c r="B36" s="4">
        <f t="shared" si="6"/>
        <v>1.7900000000008163</v>
      </c>
      <c r="C36" s="4">
        <f t="shared" si="0"/>
        <v>56269.980000000018</v>
      </c>
      <c r="D36" s="5">
        <f t="shared" si="7"/>
        <v>6169</v>
      </c>
      <c r="E36" s="6">
        <f t="shared" si="4"/>
        <v>224</v>
      </c>
      <c r="F36" s="2">
        <f t="shared" si="1"/>
        <v>2040.1900000000007</v>
      </c>
      <c r="G36" s="20">
        <f t="shared" si="8"/>
        <v>535.04999999999995</v>
      </c>
    </row>
    <row r="37" spans="1:7" x14ac:dyDescent="0.3">
      <c r="A37" s="1">
        <v>33</v>
      </c>
      <c r="B37" s="4">
        <f t="shared" si="6"/>
        <v>0.40000000000098979</v>
      </c>
      <c r="C37" s="4">
        <f t="shared" si="0"/>
        <v>58326.980000000018</v>
      </c>
      <c r="D37" s="5">
        <f t="shared" si="7"/>
        <v>6395</v>
      </c>
      <c r="E37" s="6">
        <f t="shared" si="4"/>
        <v>226</v>
      </c>
      <c r="F37" s="2">
        <f t="shared" si="1"/>
        <v>2057.0000000000009</v>
      </c>
      <c r="G37" s="20">
        <f t="shared" si="8"/>
        <v>555.20999999999992</v>
      </c>
    </row>
    <row r="38" spans="1:7" x14ac:dyDescent="0.3">
      <c r="A38" s="1">
        <v>34</v>
      </c>
      <c r="B38" s="4">
        <f t="shared" si="6"/>
        <v>1.1500000000008086</v>
      </c>
      <c r="C38" s="4">
        <f t="shared" si="0"/>
        <v>60402.930000000022</v>
      </c>
      <c r="D38" s="5">
        <f t="shared" si="7"/>
        <v>6623</v>
      </c>
      <c r="E38" s="6">
        <f t="shared" si="4"/>
        <v>228</v>
      </c>
      <c r="F38" s="2">
        <f t="shared" si="1"/>
        <v>2075.9500000000007</v>
      </c>
      <c r="G38" s="20">
        <f t="shared" si="8"/>
        <v>575.54999999999995</v>
      </c>
    </row>
    <row r="39" spans="1:7" x14ac:dyDescent="0.3">
      <c r="A39" s="1">
        <v>35</v>
      </c>
      <c r="B39" s="4">
        <f t="shared" si="6"/>
        <v>4.2200000000007911</v>
      </c>
      <c r="C39" s="4">
        <f t="shared" si="0"/>
        <v>62500.150000000023</v>
      </c>
      <c r="D39" s="5">
        <f t="shared" si="7"/>
        <v>6853</v>
      </c>
      <c r="E39" s="6">
        <f t="shared" si="4"/>
        <v>230</v>
      </c>
      <c r="F39" s="2">
        <f t="shared" si="1"/>
        <v>2097.2200000000007</v>
      </c>
      <c r="G39" s="20">
        <f t="shared" si="8"/>
        <v>596.06999999999994</v>
      </c>
    </row>
    <row r="40" spans="1:7" x14ac:dyDescent="0.3">
      <c r="A40" s="1">
        <v>36</v>
      </c>
      <c r="B40" s="4">
        <f t="shared" si="6"/>
        <v>0.69000000000077399</v>
      </c>
      <c r="C40" s="4">
        <f t="shared" si="0"/>
        <v>64621.140000000021</v>
      </c>
      <c r="D40" s="5">
        <f t="shared" si="7"/>
        <v>7086</v>
      </c>
      <c r="E40" s="6">
        <f t="shared" si="4"/>
        <v>233</v>
      </c>
      <c r="F40" s="2">
        <f t="shared" si="1"/>
        <v>2120.9900000000007</v>
      </c>
      <c r="G40" s="20">
        <f t="shared" si="8"/>
        <v>616.77</v>
      </c>
    </row>
    <row r="41" spans="1:7" x14ac:dyDescent="0.3">
      <c r="A41" s="1">
        <v>37</v>
      </c>
      <c r="B41" s="4">
        <f t="shared" si="6"/>
        <v>9.0300000000008289</v>
      </c>
      <c r="C41" s="4">
        <f t="shared" si="0"/>
        <v>66759.570000000022</v>
      </c>
      <c r="D41" s="5">
        <f t="shared" si="7"/>
        <v>7320</v>
      </c>
      <c r="E41" s="6">
        <f t="shared" si="4"/>
        <v>234</v>
      </c>
      <c r="F41" s="2">
        <f t="shared" si="1"/>
        <v>2138.4300000000007</v>
      </c>
      <c r="G41" s="20">
        <f t="shared" si="8"/>
        <v>637.74</v>
      </c>
    </row>
    <row r="42" spans="1:7" x14ac:dyDescent="0.3">
      <c r="A42" s="1">
        <v>38</v>
      </c>
      <c r="B42" s="4">
        <f t="shared" si="6"/>
        <v>2.0300000000009213</v>
      </c>
      <c r="C42" s="4">
        <f t="shared" si="0"/>
        <v>68927.400000000023</v>
      </c>
      <c r="D42" s="5">
        <f t="shared" si="7"/>
        <v>7558</v>
      </c>
      <c r="E42" s="6">
        <f t="shared" si="4"/>
        <v>238</v>
      </c>
      <c r="F42" s="2">
        <f t="shared" si="1"/>
        <v>2167.8300000000008</v>
      </c>
      <c r="G42" s="20">
        <f t="shared" si="8"/>
        <v>658.8</v>
      </c>
    </row>
    <row r="43" spans="1:7" x14ac:dyDescent="0.3">
      <c r="A43" s="1">
        <v>39</v>
      </c>
      <c r="B43" s="4">
        <f t="shared" si="6"/>
        <v>7.3500000000009944</v>
      </c>
      <c r="C43" s="4">
        <f t="shared" si="0"/>
        <v>71109.650000000023</v>
      </c>
      <c r="D43" s="5">
        <f t="shared" si="7"/>
        <v>7797</v>
      </c>
      <c r="E43" s="6">
        <f t="shared" si="4"/>
        <v>239</v>
      </c>
      <c r="F43" s="2">
        <f t="shared" si="1"/>
        <v>2182.2500000000009</v>
      </c>
      <c r="G43" s="20">
        <f t="shared" si="8"/>
        <v>680.22</v>
      </c>
    </row>
    <row r="44" spans="1:7" x14ac:dyDescent="0.3">
      <c r="A44" s="1">
        <v>40</v>
      </c>
      <c r="B44" s="4">
        <f t="shared" si="6"/>
        <v>6.8800000000009227</v>
      </c>
      <c r="C44" s="4">
        <f t="shared" si="0"/>
        <v>73318.730000000025</v>
      </c>
      <c r="D44" s="5">
        <f t="shared" si="7"/>
        <v>8039</v>
      </c>
      <c r="E44" s="6">
        <f t="shared" si="4"/>
        <v>242</v>
      </c>
      <c r="F44" s="2">
        <f t="shared" si="1"/>
        <v>2209.0800000000008</v>
      </c>
      <c r="G44" s="20">
        <f t="shared" si="8"/>
        <v>701.73</v>
      </c>
    </row>
    <row r="45" spans="1:7" x14ac:dyDescent="0.3">
      <c r="A45" s="1">
        <v>41</v>
      </c>
      <c r="B45" s="4">
        <f t="shared" si="6"/>
        <v>0.89000000000132395</v>
      </c>
      <c r="C45" s="4">
        <f t="shared" si="0"/>
        <v>75549.120000000024</v>
      </c>
      <c r="D45" s="5">
        <f t="shared" si="7"/>
        <v>8284</v>
      </c>
      <c r="E45" s="6">
        <f t="shared" si="4"/>
        <v>245</v>
      </c>
      <c r="F45" s="2">
        <f t="shared" si="1"/>
        <v>2230.3900000000012</v>
      </c>
      <c r="G45" s="20">
        <f t="shared" si="8"/>
        <v>723.51</v>
      </c>
    </row>
    <row r="46" spans="1:7" x14ac:dyDescent="0.3">
      <c r="A46" s="1">
        <v>42</v>
      </c>
      <c r="B46" s="4">
        <f t="shared" si="6"/>
        <v>7.8500000000012697</v>
      </c>
      <c r="C46" s="4">
        <f t="shared" si="0"/>
        <v>77795.570000000022</v>
      </c>
      <c r="D46" s="5">
        <f t="shared" si="7"/>
        <v>8530</v>
      </c>
      <c r="E46" s="6">
        <f t="shared" si="4"/>
        <v>246</v>
      </c>
      <c r="F46" s="2">
        <f t="shared" si="1"/>
        <v>2246.4500000000012</v>
      </c>
      <c r="G46" s="20">
        <f t="shared" si="8"/>
        <v>745.56</v>
      </c>
    </row>
    <row r="47" spans="1:7" x14ac:dyDescent="0.3">
      <c r="A47" s="1">
        <v>43</v>
      </c>
      <c r="B47" s="4">
        <f t="shared" si="6"/>
        <v>0.55000000000118021</v>
      </c>
      <c r="C47" s="4">
        <f t="shared" si="0"/>
        <v>80071.120000000024</v>
      </c>
      <c r="D47" s="5">
        <f t="shared" si="7"/>
        <v>8780</v>
      </c>
      <c r="E47" s="6">
        <f t="shared" si="4"/>
        <v>250</v>
      </c>
      <c r="F47" s="2">
        <f t="shared" si="1"/>
        <v>2275.5500000000011</v>
      </c>
      <c r="G47" s="20">
        <f t="shared" si="8"/>
        <v>767.69999999999993</v>
      </c>
    </row>
    <row r="48" spans="1:7" x14ac:dyDescent="0.3">
      <c r="A48" s="1">
        <v>44</v>
      </c>
      <c r="B48" s="4">
        <f t="shared" si="6"/>
        <v>6.6500000000009987</v>
      </c>
      <c r="C48" s="4">
        <f t="shared" si="0"/>
        <v>82361.870000000024</v>
      </c>
      <c r="D48" s="5">
        <f t="shared" si="7"/>
        <v>9031</v>
      </c>
      <c r="E48" s="6">
        <f t="shared" si="4"/>
        <v>251</v>
      </c>
      <c r="F48" s="2">
        <f t="shared" si="1"/>
        <v>2290.7500000000009</v>
      </c>
      <c r="G48" s="20">
        <f t="shared" si="8"/>
        <v>790.19999999999993</v>
      </c>
    </row>
    <row r="49" spans="1:7" x14ac:dyDescent="0.3">
      <c r="A49" s="1">
        <v>45</v>
      </c>
      <c r="B49" s="4">
        <f t="shared" si="6"/>
        <v>8.0400000000010543</v>
      </c>
      <c r="C49" s="4">
        <f t="shared" si="0"/>
        <v>84681.310000000027</v>
      </c>
      <c r="D49" s="5">
        <f t="shared" si="7"/>
        <v>9285</v>
      </c>
      <c r="E49" s="6">
        <f t="shared" si="4"/>
        <v>254</v>
      </c>
      <c r="F49" s="2">
        <f t="shared" si="1"/>
        <v>2319.440000000001</v>
      </c>
      <c r="G49" s="20">
        <f t="shared" si="8"/>
        <v>812.79</v>
      </c>
    </row>
    <row r="50" spans="1:7" x14ac:dyDescent="0.3">
      <c r="A50" s="1">
        <v>46</v>
      </c>
      <c r="B50" s="4">
        <f t="shared" si="6"/>
        <v>4.9900000000010554</v>
      </c>
      <c r="C50" s="4">
        <f t="shared" si="0"/>
        <v>87025.000000000029</v>
      </c>
      <c r="D50" s="5">
        <f t="shared" si="7"/>
        <v>9542</v>
      </c>
      <c r="E50" s="6">
        <f t="shared" si="4"/>
        <v>257</v>
      </c>
      <c r="F50" s="2">
        <f t="shared" si="1"/>
        <v>2343.690000000001</v>
      </c>
      <c r="G50" s="20">
        <f t="shared" si="8"/>
        <v>835.65</v>
      </c>
    </row>
    <row r="51" spans="1:7" x14ac:dyDescent="0.3">
      <c r="A51" s="1">
        <v>47</v>
      </c>
      <c r="B51" s="4">
        <f t="shared" si="6"/>
        <v>6.8700000000014381</v>
      </c>
      <c r="C51" s="4">
        <f t="shared" si="0"/>
        <v>89388.770000000033</v>
      </c>
      <c r="D51" s="5">
        <f t="shared" si="7"/>
        <v>9801</v>
      </c>
      <c r="E51" s="6">
        <f t="shared" si="4"/>
        <v>259</v>
      </c>
      <c r="F51" s="2">
        <f t="shared" si="1"/>
        <v>2363.7700000000013</v>
      </c>
      <c r="G51" s="20">
        <f t="shared" si="8"/>
        <v>858.78</v>
      </c>
    </row>
    <row r="52" spans="1:7" x14ac:dyDescent="0.3">
      <c r="A52" s="1">
        <v>48</v>
      </c>
      <c r="B52" s="4">
        <f t="shared" si="6"/>
        <v>4.7600000000014937</v>
      </c>
      <c r="C52" s="4">
        <f t="shared" si="0"/>
        <v>91777.73000000004</v>
      </c>
      <c r="D52" s="5">
        <f t="shared" si="7"/>
        <v>10063</v>
      </c>
      <c r="E52" s="6">
        <f t="shared" si="4"/>
        <v>262</v>
      </c>
      <c r="F52" s="2">
        <f t="shared" si="1"/>
        <v>2388.9600000000014</v>
      </c>
      <c r="G52" s="20">
        <f t="shared" si="8"/>
        <v>882.08999999999992</v>
      </c>
    </row>
    <row r="53" spans="1:7" x14ac:dyDescent="0.3">
      <c r="A53" s="1">
        <v>49</v>
      </c>
      <c r="B53" s="4">
        <f t="shared" si="6"/>
        <v>8.0300000000017491</v>
      </c>
      <c r="C53" s="4">
        <f t="shared" si="0"/>
        <v>94188.160000000047</v>
      </c>
      <c r="D53" s="5">
        <f t="shared" si="7"/>
        <v>10327</v>
      </c>
      <c r="E53" s="6">
        <f t="shared" si="4"/>
        <v>264</v>
      </c>
      <c r="F53" s="2">
        <f t="shared" si="1"/>
        <v>2410.4300000000017</v>
      </c>
      <c r="G53" s="20">
        <f t="shared" si="8"/>
        <v>905.67</v>
      </c>
    </row>
    <row r="54" spans="1:7" x14ac:dyDescent="0.3">
      <c r="A54" s="1">
        <v>50</v>
      </c>
      <c r="B54" s="4">
        <f t="shared" si="6"/>
        <v>7.7600000000019502</v>
      </c>
      <c r="C54" s="4">
        <f t="shared" si="0"/>
        <v>96625.620000000054</v>
      </c>
      <c r="D54" s="5">
        <f t="shared" si="7"/>
        <v>10594</v>
      </c>
      <c r="E54" s="6">
        <f t="shared" si="4"/>
        <v>267</v>
      </c>
      <c r="F54" s="2">
        <f t="shared" si="1"/>
        <v>2437.4600000000019</v>
      </c>
      <c r="G54" s="20">
        <f t="shared" si="8"/>
        <v>929.43</v>
      </c>
    </row>
    <row r="55" spans="1:7" x14ac:dyDescent="0.3">
      <c r="A55" s="1">
        <v>51</v>
      </c>
      <c r="B55" s="4">
        <f t="shared" si="6"/>
        <v>4.2200000000021696</v>
      </c>
      <c r="C55" s="4">
        <f t="shared" si="0"/>
        <v>99086.840000000055</v>
      </c>
      <c r="D55" s="5">
        <f t="shared" si="7"/>
        <v>10864</v>
      </c>
      <c r="E55" s="6">
        <f t="shared" si="4"/>
        <v>270</v>
      </c>
      <c r="F55" s="2">
        <f t="shared" si="1"/>
        <v>2461.2200000000021</v>
      </c>
      <c r="G55" s="20">
        <f t="shared" si="8"/>
        <v>953.45999999999992</v>
      </c>
    </row>
    <row r="56" spans="1:7" x14ac:dyDescent="0.3">
      <c r="A56" s="1">
        <v>52</v>
      </c>
      <c r="B56" s="4">
        <f t="shared" si="6"/>
        <v>6.7800000000023886</v>
      </c>
      <c r="C56" s="4">
        <f t="shared" si="0"/>
        <v>101568.82000000005</v>
      </c>
      <c r="D56" s="5">
        <f t="shared" si="7"/>
        <v>11136</v>
      </c>
      <c r="E56" s="6">
        <f t="shared" si="4"/>
        <v>272</v>
      </c>
      <c r="F56" s="2">
        <f t="shared" si="1"/>
        <v>2481.9800000000023</v>
      </c>
      <c r="G56" s="20">
        <f t="shared" si="8"/>
        <v>977.76</v>
      </c>
    </row>
    <row r="57" spans="1:7" x14ac:dyDescent="0.3">
      <c r="A57" s="1">
        <v>53</v>
      </c>
      <c r="B57" s="4">
        <f t="shared" si="6"/>
        <v>6.5200000000023532</v>
      </c>
      <c r="C57" s="4">
        <f t="shared" si="0"/>
        <v>104077.84000000005</v>
      </c>
      <c r="D57" s="5">
        <f t="shared" si="7"/>
        <v>11411</v>
      </c>
      <c r="E57" s="6">
        <f t="shared" si="4"/>
        <v>275</v>
      </c>
      <c r="F57" s="2">
        <f t="shared" si="1"/>
        <v>2509.0200000000023</v>
      </c>
      <c r="G57" s="20">
        <f t="shared" si="8"/>
        <v>1002.24</v>
      </c>
    </row>
    <row r="58" spans="1:7" x14ac:dyDescent="0.3">
      <c r="A58" s="1">
        <v>54</v>
      </c>
      <c r="B58" s="4">
        <f t="shared" si="6"/>
        <v>3.710000000002136</v>
      </c>
      <c r="C58" s="4">
        <f t="shared" si="0"/>
        <v>106611.35000000006</v>
      </c>
      <c r="D58" s="5">
        <f t="shared" si="7"/>
        <v>11689</v>
      </c>
      <c r="E58" s="6">
        <f t="shared" si="4"/>
        <v>278</v>
      </c>
      <c r="F58" s="2">
        <f t="shared" si="1"/>
        <v>2533.510000000002</v>
      </c>
      <c r="G58" s="20">
        <f t="shared" si="8"/>
        <v>1026.99</v>
      </c>
    </row>
    <row r="59" spans="1:7" x14ac:dyDescent="0.3">
      <c r="A59" s="1">
        <v>55</v>
      </c>
      <c r="B59" s="4">
        <f t="shared" si="6"/>
        <v>7.7200000000021731</v>
      </c>
      <c r="C59" s="4">
        <f t="shared" si="0"/>
        <v>109167.07000000007</v>
      </c>
      <c r="D59" s="5">
        <f t="shared" si="7"/>
        <v>11969</v>
      </c>
      <c r="E59" s="6">
        <f t="shared" si="4"/>
        <v>280</v>
      </c>
      <c r="F59" s="2">
        <f t="shared" si="1"/>
        <v>2555.7200000000021</v>
      </c>
      <c r="G59" s="20">
        <f t="shared" si="8"/>
        <v>1052.01</v>
      </c>
    </row>
    <row r="60" spans="1:7" x14ac:dyDescent="0.3">
      <c r="A60" s="1">
        <v>56</v>
      </c>
      <c r="B60" s="4">
        <f t="shared" si="6"/>
        <v>0.53000000000221092</v>
      </c>
      <c r="C60" s="4">
        <f t="shared" si="0"/>
        <v>111752.00000000007</v>
      </c>
      <c r="D60" s="5">
        <f t="shared" si="7"/>
        <v>12253</v>
      </c>
      <c r="E60" s="6">
        <f t="shared" si="4"/>
        <v>284</v>
      </c>
      <c r="F60" s="2">
        <f t="shared" si="1"/>
        <v>2584.9300000000021</v>
      </c>
      <c r="G60" s="20">
        <f t="shared" si="8"/>
        <v>1077.21</v>
      </c>
    </row>
    <row r="61" spans="1:7" x14ac:dyDescent="0.3">
      <c r="A61" s="1">
        <v>57</v>
      </c>
      <c r="B61" s="4">
        <f t="shared" si="6"/>
        <v>0.7000000000021025</v>
      </c>
      <c r="C61" s="4">
        <f t="shared" si="0"/>
        <v>114355.30000000008</v>
      </c>
      <c r="D61" s="5">
        <f t="shared" si="7"/>
        <v>12539</v>
      </c>
      <c r="E61" s="6">
        <f t="shared" si="4"/>
        <v>286</v>
      </c>
      <c r="F61" s="2">
        <f t="shared" si="1"/>
        <v>2603.300000000002</v>
      </c>
      <c r="G61" s="20">
        <f t="shared" si="8"/>
        <v>1102.77</v>
      </c>
    </row>
    <row r="62" spans="1:7" x14ac:dyDescent="0.3">
      <c r="A62" s="1">
        <v>58</v>
      </c>
      <c r="B62" s="4">
        <f t="shared" si="6"/>
        <v>8.4100000000019577</v>
      </c>
      <c r="C62" s="4">
        <f t="shared" si="0"/>
        <v>116984.51000000008</v>
      </c>
      <c r="D62" s="5">
        <f t="shared" si="7"/>
        <v>12827</v>
      </c>
      <c r="E62" s="6">
        <f t="shared" si="4"/>
        <v>288</v>
      </c>
      <c r="F62" s="2">
        <f t="shared" si="1"/>
        <v>2629.2100000000019</v>
      </c>
      <c r="G62" s="20">
        <f t="shared" si="8"/>
        <v>1128.51</v>
      </c>
    </row>
    <row r="63" spans="1:7" x14ac:dyDescent="0.3">
      <c r="A63" s="1">
        <v>59</v>
      </c>
      <c r="B63" s="4">
        <f t="shared" si="6"/>
        <v>5.6400000000020682</v>
      </c>
      <c r="C63" s="4">
        <f t="shared" si="0"/>
        <v>119647.35000000008</v>
      </c>
      <c r="D63" s="5">
        <f t="shared" si="7"/>
        <v>13119</v>
      </c>
      <c r="E63" s="6">
        <f t="shared" si="4"/>
        <v>292</v>
      </c>
      <c r="F63" s="2">
        <f t="shared" si="1"/>
        <v>2662.840000000002</v>
      </c>
      <c r="G63" s="20">
        <f t="shared" si="8"/>
        <v>1154.43</v>
      </c>
    </row>
    <row r="64" spans="1:7" x14ac:dyDescent="0.3">
      <c r="A64" s="1">
        <v>60</v>
      </c>
      <c r="B64" s="4">
        <f t="shared" si="6"/>
        <v>1.8500000000022876</v>
      </c>
      <c r="C64" s="4">
        <f t="shared" si="0"/>
        <v>122333.70000000008</v>
      </c>
      <c r="D64" s="5">
        <f t="shared" si="7"/>
        <v>13414</v>
      </c>
      <c r="E64" s="6">
        <f t="shared" si="4"/>
        <v>295</v>
      </c>
      <c r="F64" s="2">
        <f t="shared" si="1"/>
        <v>2686.3500000000022</v>
      </c>
      <c r="G64" s="20">
        <f t="shared" si="8"/>
        <v>1180.71</v>
      </c>
    </row>
    <row r="65" spans="1:7" x14ac:dyDescent="0.3">
      <c r="A65" s="1">
        <v>61</v>
      </c>
      <c r="B65" s="4">
        <f>MOD(F65,$H$5)</f>
        <v>6.4100000000025066</v>
      </c>
      <c r="C65" s="4">
        <f t="shared" si="0"/>
        <v>125042.81000000008</v>
      </c>
      <c r="D65" s="5">
        <f t="shared" ref="D65:D124" si="9">ROUNDDOWN(D64+E65,0)</f>
        <v>13711</v>
      </c>
      <c r="E65" s="6">
        <f>ROUNDDOWN(F65/$H$5,0)</f>
        <v>297</v>
      </c>
      <c r="F65" s="2">
        <f t="shared" si="1"/>
        <v>2709.1100000000024</v>
      </c>
      <c r="G65" s="20">
        <f>D64*$I$5</f>
        <v>1207.26</v>
      </c>
    </row>
    <row r="66" spans="1:7" x14ac:dyDescent="0.3">
      <c r="A66" s="1">
        <v>62</v>
      </c>
      <c r="B66" s="4">
        <f>MOD(F66,$H$5)</f>
        <v>1.3000000000024716</v>
      </c>
      <c r="C66" s="4">
        <f t="shared" si="0"/>
        <v>127783.21000000009</v>
      </c>
      <c r="D66" s="5">
        <f t="shared" si="9"/>
        <v>14012</v>
      </c>
      <c r="E66" s="6">
        <f>ROUNDDOWN(F66/$H$5,0)</f>
        <v>301</v>
      </c>
      <c r="F66" s="2">
        <f t="shared" si="1"/>
        <v>2740.4000000000024</v>
      </c>
      <c r="G66" s="20">
        <f>D65*$I$5</f>
        <v>1233.99</v>
      </c>
    </row>
    <row r="67" spans="1:7" x14ac:dyDescent="0.3">
      <c r="A67" s="1">
        <v>63</v>
      </c>
      <c r="B67" s="4">
        <f>MOD(F67,$H$5)</f>
        <v>5.0800000000024905</v>
      </c>
      <c r="C67" s="4">
        <f t="shared" si="0"/>
        <v>130545.5900000001</v>
      </c>
      <c r="D67" s="5">
        <f t="shared" si="9"/>
        <v>14315</v>
      </c>
      <c r="E67" s="6">
        <f>ROUNDDOWN(F67/$H$5,0)</f>
        <v>303</v>
      </c>
      <c r="F67" s="2">
        <f t="shared" si="1"/>
        <v>2762.3800000000024</v>
      </c>
      <c r="G67" s="20">
        <f>D66*$I$5</f>
        <v>1261.08</v>
      </c>
    </row>
    <row r="68" spans="1:7" x14ac:dyDescent="0.3">
      <c r="A68" s="1">
        <v>64</v>
      </c>
      <c r="B68" s="4">
        <f>MOD(F68,$H$5)</f>
        <v>8.8300000000022187</v>
      </c>
      <c r="C68" s="4">
        <f t="shared" si="0"/>
        <v>133339.02000000011</v>
      </c>
      <c r="D68" s="5">
        <f t="shared" si="9"/>
        <v>14621</v>
      </c>
      <c r="E68" s="6">
        <f>ROUNDDOWN(F68/$H$5,0)</f>
        <v>306</v>
      </c>
      <c r="F68" s="2">
        <f t="shared" si="1"/>
        <v>2793.4300000000021</v>
      </c>
      <c r="G68" s="20">
        <f>D67*$I$5</f>
        <v>1288.3499999999999</v>
      </c>
    </row>
    <row r="69" spans="1:7" x14ac:dyDescent="0.3">
      <c r="A69" s="1">
        <v>65</v>
      </c>
      <c r="B69" s="4">
        <f>MOD(F69,$H$5)</f>
        <v>3.7200000000021838</v>
      </c>
      <c r="C69" s="4">
        <f t="shared" si="0"/>
        <v>136163.74000000011</v>
      </c>
      <c r="D69" s="5">
        <f t="shared" si="9"/>
        <v>14931</v>
      </c>
      <c r="E69" s="6">
        <f>ROUNDDOWN(F69/$H$5,0)</f>
        <v>310</v>
      </c>
      <c r="F69" s="2">
        <f t="shared" si="1"/>
        <v>2824.7200000000021</v>
      </c>
      <c r="G69" s="20">
        <f>D68*$I$5</f>
        <v>1315.8899999999999</v>
      </c>
    </row>
    <row r="70" spans="1:7" x14ac:dyDescent="0.3">
      <c r="A70" s="1">
        <v>66</v>
      </c>
      <c r="B70" s="4">
        <f>MOD(F70,$H$5)</f>
        <v>8.3100000000021481</v>
      </c>
      <c r="C70" s="4">
        <f t="shared" si="0"/>
        <v>139011.25000000012</v>
      </c>
      <c r="D70" s="5">
        <f t="shared" si="9"/>
        <v>15243</v>
      </c>
      <c r="E70" s="6">
        <f>ROUNDDOWN(F70/$H$5,0)</f>
        <v>312</v>
      </c>
      <c r="F70" s="2">
        <f t="shared" si="1"/>
        <v>2847.510000000002</v>
      </c>
      <c r="G70" s="20">
        <f>D69*$I$5</f>
        <v>1343.79</v>
      </c>
    </row>
    <row r="71" spans="1:7" x14ac:dyDescent="0.3">
      <c r="A71" s="1">
        <v>67</v>
      </c>
      <c r="B71" s="4">
        <f>MOD(F71,$H$5)</f>
        <v>4.5800000000022223</v>
      </c>
      <c r="C71" s="4">
        <f t="shared" si="0"/>
        <v>141891.43000000011</v>
      </c>
      <c r="D71" s="5">
        <f t="shared" si="9"/>
        <v>15559</v>
      </c>
      <c r="E71" s="6">
        <f>ROUNDDOWN(F71/$H$5,0)</f>
        <v>316</v>
      </c>
      <c r="F71" s="2">
        <f t="shared" ref="F71:F124" si="10">$F$5+B70+G71</f>
        <v>2880.1800000000021</v>
      </c>
      <c r="G71" s="20">
        <f>D70*$I$5</f>
        <v>1371.87</v>
      </c>
    </row>
    <row r="72" spans="1:7" x14ac:dyDescent="0.3">
      <c r="A72" s="1">
        <v>68</v>
      </c>
      <c r="B72" s="4">
        <f>MOD(F72,$H$5)</f>
        <v>1.9900000000022597</v>
      </c>
      <c r="C72" s="4">
        <f t="shared" ref="C72:C124" si="11">C71+F72</f>
        <v>144796.32000000012</v>
      </c>
      <c r="D72" s="5">
        <f t="shared" si="9"/>
        <v>15878</v>
      </c>
      <c r="E72" s="6">
        <f>ROUNDDOWN(F72/$H$5,0)</f>
        <v>319</v>
      </c>
      <c r="F72" s="2">
        <f t="shared" si="10"/>
        <v>2904.8900000000021</v>
      </c>
      <c r="G72" s="20">
        <f>D71*$I$5</f>
        <v>1400.31</v>
      </c>
    </row>
    <row r="73" spans="1:7" x14ac:dyDescent="0.3">
      <c r="A73" s="1">
        <v>69</v>
      </c>
      <c r="B73" s="4">
        <f>MOD(F73,$H$5)</f>
        <v>0.81000000000215167</v>
      </c>
      <c r="C73" s="4">
        <f t="shared" si="11"/>
        <v>147727.33000000013</v>
      </c>
      <c r="D73" s="5">
        <f t="shared" si="9"/>
        <v>16200</v>
      </c>
      <c r="E73" s="6">
        <f>ROUNDDOWN(F73/$H$5,0)</f>
        <v>322</v>
      </c>
      <c r="F73" s="2">
        <f t="shared" si="10"/>
        <v>2931.010000000002</v>
      </c>
      <c r="G73" s="20">
        <f>D72*$I$5</f>
        <v>1429.02</v>
      </c>
    </row>
    <row r="74" spans="1:7" x14ac:dyDescent="0.3">
      <c r="A74" s="1">
        <v>70</v>
      </c>
      <c r="B74" s="4">
        <f>MOD(F74,$H$5)</f>
        <v>1.3100000000023346</v>
      </c>
      <c r="C74" s="4">
        <f t="shared" si="11"/>
        <v>150686.14000000013</v>
      </c>
      <c r="D74" s="5">
        <f t="shared" si="9"/>
        <v>16525</v>
      </c>
      <c r="E74" s="6">
        <f>ROUNDDOWN(F74/$H$5,0)</f>
        <v>325</v>
      </c>
      <c r="F74" s="2">
        <f t="shared" si="10"/>
        <v>2958.8100000000022</v>
      </c>
      <c r="G74" s="20">
        <f>D73*$I$5</f>
        <v>1458</v>
      </c>
    </row>
    <row r="75" spans="1:7" x14ac:dyDescent="0.3">
      <c r="A75" s="1">
        <v>71</v>
      </c>
      <c r="B75" s="4">
        <f>MOD(F75,$H$5)</f>
        <v>3.7600000000023357</v>
      </c>
      <c r="C75" s="4">
        <f t="shared" si="11"/>
        <v>153674.70000000013</v>
      </c>
      <c r="D75" s="5">
        <f t="shared" si="9"/>
        <v>16853</v>
      </c>
      <c r="E75" s="6">
        <f>ROUNDDOWN(F75/$H$5,0)</f>
        <v>328</v>
      </c>
      <c r="F75" s="2">
        <f t="shared" si="10"/>
        <v>2988.5600000000022</v>
      </c>
      <c r="G75" s="20">
        <f>D74*$I$5</f>
        <v>1487.25</v>
      </c>
    </row>
    <row r="76" spans="1:7" x14ac:dyDescent="0.3">
      <c r="A76" s="1">
        <v>72</v>
      </c>
      <c r="B76" s="4">
        <f>MOD(F76,$H$5)</f>
        <v>8.4300000000025914</v>
      </c>
      <c r="C76" s="4">
        <f t="shared" si="11"/>
        <v>156695.23000000013</v>
      </c>
      <c r="D76" s="5">
        <f t="shared" si="9"/>
        <v>17184</v>
      </c>
      <c r="E76" s="6">
        <f>ROUNDDOWN(F76/$H$5,0)</f>
        <v>331</v>
      </c>
      <c r="F76" s="2">
        <f t="shared" si="10"/>
        <v>3020.5300000000025</v>
      </c>
      <c r="G76" s="20">
        <f>D75*$I$5</f>
        <v>1516.77</v>
      </c>
    </row>
    <row r="77" spans="1:7" x14ac:dyDescent="0.3">
      <c r="A77" s="1">
        <v>73</v>
      </c>
      <c r="B77" s="4">
        <f>MOD(F77,$H$5)</f>
        <v>6.4900000000026292</v>
      </c>
      <c r="C77" s="4">
        <f t="shared" si="11"/>
        <v>159750.22000000012</v>
      </c>
      <c r="D77" s="5">
        <f t="shared" si="9"/>
        <v>17519</v>
      </c>
      <c r="E77" s="6">
        <f>ROUNDDOWN(F77/$H$5,0)</f>
        <v>335</v>
      </c>
      <c r="F77" s="2">
        <f t="shared" si="10"/>
        <v>3054.9900000000025</v>
      </c>
      <c r="G77" s="20">
        <f>D76*$I$5</f>
        <v>1546.56</v>
      </c>
    </row>
    <row r="78" spans="1:7" x14ac:dyDescent="0.3">
      <c r="A78" s="1">
        <v>74</v>
      </c>
      <c r="B78" s="4">
        <f>MOD(F78,$H$5)</f>
        <v>7.4000000000026667</v>
      </c>
      <c r="C78" s="4">
        <f t="shared" si="11"/>
        <v>162833.42000000013</v>
      </c>
      <c r="D78" s="5">
        <f t="shared" si="9"/>
        <v>17857</v>
      </c>
      <c r="E78" s="6">
        <f>ROUNDDOWN(F78/$H$5,0)</f>
        <v>338</v>
      </c>
      <c r="F78" s="2">
        <f t="shared" si="10"/>
        <v>3083.2000000000025</v>
      </c>
      <c r="G78" s="20">
        <f>D77*$I$5</f>
        <v>1576.71</v>
      </c>
    </row>
    <row r="79" spans="1:7" x14ac:dyDescent="0.3">
      <c r="A79" s="1">
        <v>75</v>
      </c>
      <c r="B79" s="4">
        <f>MOD(F79,$H$5)</f>
        <v>2.3300000000025953</v>
      </c>
      <c r="C79" s="4">
        <f t="shared" si="11"/>
        <v>165947.95000000013</v>
      </c>
      <c r="D79" s="5">
        <f t="shared" si="9"/>
        <v>18199</v>
      </c>
      <c r="E79" s="6">
        <f>ROUNDDOWN(F79/$H$5,0)</f>
        <v>342</v>
      </c>
      <c r="F79" s="2">
        <f t="shared" si="10"/>
        <v>3114.5300000000025</v>
      </c>
      <c r="G79" s="20">
        <f>D78*$I$5</f>
        <v>1607.1299999999999</v>
      </c>
    </row>
    <row r="80" spans="1:7" x14ac:dyDescent="0.3">
      <c r="A80" s="1">
        <v>76</v>
      </c>
      <c r="B80" s="4">
        <f>MOD(F80,$H$5)</f>
        <v>0.74000000000263277</v>
      </c>
      <c r="C80" s="4">
        <f t="shared" si="11"/>
        <v>169088.19000000012</v>
      </c>
      <c r="D80" s="5">
        <f t="shared" si="9"/>
        <v>18544</v>
      </c>
      <c r="E80" s="6">
        <f>ROUNDDOWN(F80/$H$5,0)</f>
        <v>345</v>
      </c>
      <c r="F80" s="2">
        <f t="shared" si="10"/>
        <v>3140.2400000000025</v>
      </c>
      <c r="G80" s="20">
        <f>D79*$I$5</f>
        <v>1637.9099999999999</v>
      </c>
    </row>
    <row r="81" spans="1:7" x14ac:dyDescent="0.3">
      <c r="A81" s="1">
        <v>77</v>
      </c>
      <c r="B81" s="4">
        <f>MOD(F81,$H$5)</f>
        <v>2.9000000000026702</v>
      </c>
      <c r="C81" s="4">
        <f t="shared" si="11"/>
        <v>172257.89000000013</v>
      </c>
      <c r="D81" s="5">
        <f t="shared" si="9"/>
        <v>18892</v>
      </c>
      <c r="E81" s="6">
        <f>ROUNDDOWN(F81/$H$5,0)</f>
        <v>348</v>
      </c>
      <c r="F81" s="2">
        <f t="shared" si="10"/>
        <v>3169.7000000000025</v>
      </c>
      <c r="G81" s="20">
        <f>D80*$I$5</f>
        <v>1668.96</v>
      </c>
    </row>
    <row r="82" spans="1:7" x14ac:dyDescent="0.3">
      <c r="A82" s="1">
        <v>78</v>
      </c>
      <c r="B82" s="4">
        <f>MOD(F82,$H$5)</f>
        <v>9.0800000000026895</v>
      </c>
      <c r="C82" s="4">
        <f t="shared" si="11"/>
        <v>175461.07000000012</v>
      </c>
      <c r="D82" s="5">
        <f t="shared" si="9"/>
        <v>19243</v>
      </c>
      <c r="E82" s="6">
        <f>ROUNDDOWN(F82/$H$5,0)</f>
        <v>351</v>
      </c>
      <c r="F82" s="2">
        <f t="shared" si="10"/>
        <v>3203.1800000000026</v>
      </c>
      <c r="G82" s="20">
        <f>D81*$I$5</f>
        <v>1700.28</v>
      </c>
    </row>
    <row r="83" spans="1:7" x14ac:dyDescent="0.3">
      <c r="A83" s="1">
        <v>79</v>
      </c>
      <c r="B83" s="4">
        <f>MOD(F83,$H$5)</f>
        <v>1.3500000000026731</v>
      </c>
      <c r="C83" s="4">
        <f t="shared" si="11"/>
        <v>178702.02000000014</v>
      </c>
      <c r="D83" s="5">
        <f t="shared" si="9"/>
        <v>19599</v>
      </c>
      <c r="E83" s="6">
        <f>ROUNDDOWN(F83/$H$5,0)</f>
        <v>356</v>
      </c>
      <c r="F83" s="2">
        <f t="shared" si="10"/>
        <v>3240.9500000000025</v>
      </c>
      <c r="G83" s="20">
        <f>D82*$I$5</f>
        <v>1731.87</v>
      </c>
    </row>
    <row r="84" spans="1:7" x14ac:dyDescent="0.3">
      <c r="A84" s="1">
        <v>80</v>
      </c>
      <c r="B84" s="4">
        <f>MOD(F84,$H$5)</f>
        <v>7.4600000000026192</v>
      </c>
      <c r="C84" s="4">
        <f t="shared" si="11"/>
        <v>181967.28000000014</v>
      </c>
      <c r="D84" s="5">
        <f t="shared" si="9"/>
        <v>19957</v>
      </c>
      <c r="E84" s="6">
        <f>ROUNDDOWN(F84/$H$5,0)</f>
        <v>358</v>
      </c>
      <c r="F84" s="2">
        <f t="shared" si="10"/>
        <v>3265.2600000000025</v>
      </c>
      <c r="G84" s="20">
        <f>D83*$I$5</f>
        <v>1763.9099999999999</v>
      </c>
    </row>
    <row r="85" spans="1:7" x14ac:dyDescent="0.3">
      <c r="A85" s="1">
        <v>81</v>
      </c>
      <c r="B85" s="4">
        <f>MOD(F85,$H$5)</f>
        <v>0.29000000000254822</v>
      </c>
      <c r="C85" s="4">
        <f t="shared" si="11"/>
        <v>185270.87000000014</v>
      </c>
      <c r="D85" s="5">
        <f t="shared" si="9"/>
        <v>20320</v>
      </c>
      <c r="E85" s="6">
        <f>ROUNDDOWN(F85/$H$5,0)</f>
        <v>363</v>
      </c>
      <c r="F85" s="2">
        <f t="shared" si="10"/>
        <v>3303.5900000000024</v>
      </c>
      <c r="G85" s="20">
        <f>D84*$I$5</f>
        <v>1796.1299999999999</v>
      </c>
    </row>
    <row r="86" spans="1:7" x14ac:dyDescent="0.3">
      <c r="A86" s="1">
        <v>82</v>
      </c>
      <c r="B86" s="4">
        <f>MOD(F86,$H$5)</f>
        <v>7.5900000000025489</v>
      </c>
      <c r="C86" s="4">
        <f t="shared" si="11"/>
        <v>188599.96000000014</v>
      </c>
      <c r="D86" s="5">
        <f t="shared" si="9"/>
        <v>20685</v>
      </c>
      <c r="E86" s="6">
        <f>ROUNDDOWN(F86/$H$5,0)</f>
        <v>365</v>
      </c>
      <c r="F86" s="2">
        <f t="shared" si="10"/>
        <v>3329.0900000000024</v>
      </c>
      <c r="G86" s="20">
        <f>D85*$I$5</f>
        <v>1828.8</v>
      </c>
    </row>
    <row r="87" spans="1:7" x14ac:dyDescent="0.3">
      <c r="A87" s="1">
        <v>83</v>
      </c>
      <c r="B87" s="4">
        <f>MOD(F87,$H$5)</f>
        <v>2.2400000000026417</v>
      </c>
      <c r="C87" s="4">
        <f t="shared" si="11"/>
        <v>191969.20000000013</v>
      </c>
      <c r="D87" s="5">
        <f t="shared" si="9"/>
        <v>21055</v>
      </c>
      <c r="E87" s="6">
        <f>ROUNDDOWN(F87/$H$5,0)</f>
        <v>370</v>
      </c>
      <c r="F87" s="2">
        <f t="shared" si="10"/>
        <v>3369.2400000000025</v>
      </c>
      <c r="G87" s="20">
        <f>D86*$I$5</f>
        <v>1861.6499999999999</v>
      </c>
    </row>
    <row r="88" spans="1:7" x14ac:dyDescent="0.3">
      <c r="A88" s="1">
        <v>84</v>
      </c>
      <c r="B88" s="4">
        <f>MOD(F88,$H$5)</f>
        <v>2.8900000000024608</v>
      </c>
      <c r="C88" s="4">
        <f t="shared" si="11"/>
        <v>195366.39000000013</v>
      </c>
      <c r="D88" s="5">
        <f t="shared" si="9"/>
        <v>21428</v>
      </c>
      <c r="E88" s="6">
        <f>ROUNDDOWN(F88/$H$5,0)</f>
        <v>373</v>
      </c>
      <c r="F88" s="2">
        <f t="shared" si="10"/>
        <v>3397.1900000000023</v>
      </c>
      <c r="G88" s="20">
        <f>D87*$I$5</f>
        <v>1894.9499999999998</v>
      </c>
    </row>
    <row r="89" spans="1:7" x14ac:dyDescent="0.3">
      <c r="A89" s="1">
        <v>85</v>
      </c>
      <c r="B89" s="4">
        <f>MOD(F89,$H$5)</f>
        <v>0.7100000000027169</v>
      </c>
      <c r="C89" s="4">
        <f t="shared" si="11"/>
        <v>198797.80000000013</v>
      </c>
      <c r="D89" s="5">
        <f t="shared" si="9"/>
        <v>21805</v>
      </c>
      <c r="E89" s="6">
        <f>ROUNDDOWN(F89/$H$5,0)</f>
        <v>377</v>
      </c>
      <c r="F89" s="2">
        <f t="shared" si="10"/>
        <v>3431.4100000000026</v>
      </c>
      <c r="G89" s="20">
        <f>D88*$I$5</f>
        <v>1928.52</v>
      </c>
    </row>
    <row r="90" spans="1:7" x14ac:dyDescent="0.3">
      <c r="A90" s="1">
        <v>86</v>
      </c>
      <c r="B90" s="4">
        <f>MOD(F90,$H$5)</f>
        <v>5.160000000002718</v>
      </c>
      <c r="C90" s="4">
        <f t="shared" si="11"/>
        <v>202260.96000000014</v>
      </c>
      <c r="D90" s="5">
        <f t="shared" si="9"/>
        <v>22185</v>
      </c>
      <c r="E90" s="6">
        <f>ROUNDDOWN(F90/$H$5,0)</f>
        <v>380</v>
      </c>
      <c r="F90" s="2">
        <f t="shared" si="10"/>
        <v>3463.1600000000026</v>
      </c>
      <c r="G90" s="20">
        <f>D89*$I$5</f>
        <v>1962.4499999999998</v>
      </c>
    </row>
    <row r="91" spans="1:7" x14ac:dyDescent="0.3">
      <c r="A91" s="1">
        <v>87</v>
      </c>
      <c r="B91" s="4">
        <f>MOD(F91,$H$5)</f>
        <v>7.4100000000028103</v>
      </c>
      <c r="C91" s="4">
        <f t="shared" si="11"/>
        <v>205762.77000000014</v>
      </c>
      <c r="D91" s="5">
        <f t="shared" si="9"/>
        <v>22569</v>
      </c>
      <c r="E91" s="6">
        <f>ROUNDDOWN(F91/$H$5,0)</f>
        <v>384</v>
      </c>
      <c r="F91" s="2">
        <f t="shared" si="10"/>
        <v>3501.8100000000027</v>
      </c>
      <c r="G91" s="20">
        <f>D90*$I$5</f>
        <v>1996.6499999999999</v>
      </c>
    </row>
    <row r="92" spans="1:7" x14ac:dyDescent="0.3">
      <c r="A92" s="1">
        <v>88</v>
      </c>
      <c r="B92" s="4">
        <f>MOD(F92,$H$5)</f>
        <v>7.8200000000027572</v>
      </c>
      <c r="C92" s="4">
        <f t="shared" si="11"/>
        <v>209301.39000000013</v>
      </c>
      <c r="D92" s="5">
        <f t="shared" si="9"/>
        <v>22957</v>
      </c>
      <c r="E92" s="6">
        <f>ROUNDDOWN(F92/$H$5,0)</f>
        <v>388</v>
      </c>
      <c r="F92" s="2">
        <f t="shared" si="10"/>
        <v>3538.6200000000026</v>
      </c>
      <c r="G92" s="20">
        <f>D91*$I$5</f>
        <v>2031.21</v>
      </c>
    </row>
    <row r="93" spans="1:7" x14ac:dyDescent="0.3">
      <c r="A93" s="1">
        <v>89</v>
      </c>
      <c r="B93" s="4">
        <f>MOD(F93,$H$5)</f>
        <v>6.7500000000026859</v>
      </c>
      <c r="C93" s="4">
        <f t="shared" si="11"/>
        <v>212875.34000000014</v>
      </c>
      <c r="D93" s="5">
        <f t="shared" si="9"/>
        <v>23349</v>
      </c>
      <c r="E93" s="6">
        <f>ROUNDDOWN(F93/$H$5,0)</f>
        <v>392</v>
      </c>
      <c r="F93" s="2">
        <f t="shared" si="10"/>
        <v>3573.9500000000025</v>
      </c>
      <c r="G93" s="20">
        <f>D92*$I$5</f>
        <v>2066.13</v>
      </c>
    </row>
    <row r="94" spans="1:7" x14ac:dyDescent="0.3">
      <c r="A94" s="1">
        <v>90</v>
      </c>
      <c r="B94" s="4">
        <f>MOD(F94,$H$5)</f>
        <v>4.5600000000027237</v>
      </c>
      <c r="C94" s="4">
        <f t="shared" si="11"/>
        <v>216483.50000000015</v>
      </c>
      <c r="D94" s="5">
        <f t="shared" si="9"/>
        <v>23745</v>
      </c>
      <c r="E94" s="6">
        <f>ROUNDDOWN(F94/$H$5,0)</f>
        <v>396</v>
      </c>
      <c r="F94" s="2">
        <f t="shared" si="10"/>
        <v>3608.1600000000026</v>
      </c>
      <c r="G94" s="20">
        <f>D93*$I$5</f>
        <v>2101.41</v>
      </c>
    </row>
    <row r="95" spans="1:7" x14ac:dyDescent="0.3">
      <c r="A95" s="1">
        <v>91</v>
      </c>
      <c r="B95" s="4">
        <f>MOD(F95,$H$5)</f>
        <v>1.6100000000025432</v>
      </c>
      <c r="C95" s="4">
        <f t="shared" si="11"/>
        <v>220125.11000000016</v>
      </c>
      <c r="D95" s="5">
        <f t="shared" si="9"/>
        <v>24145</v>
      </c>
      <c r="E95" s="6">
        <f>ROUNDDOWN(F95/$H$5,0)</f>
        <v>400</v>
      </c>
      <c r="F95" s="2">
        <f t="shared" si="10"/>
        <v>3641.6100000000024</v>
      </c>
      <c r="G95" s="20">
        <f>D94*$I$5</f>
        <v>2137.0499999999997</v>
      </c>
    </row>
    <row r="96" spans="1:7" x14ac:dyDescent="0.3">
      <c r="A96" s="1">
        <v>92</v>
      </c>
      <c r="B96" s="4">
        <f>MOD(F96,$H$5)</f>
        <v>7.3600000000027261</v>
      </c>
      <c r="C96" s="4">
        <f t="shared" si="11"/>
        <v>223799.77000000016</v>
      </c>
      <c r="D96" s="5">
        <f t="shared" si="9"/>
        <v>24548</v>
      </c>
      <c r="E96" s="6">
        <f>ROUNDDOWN(F96/$H$5,0)</f>
        <v>403</v>
      </c>
      <c r="F96" s="2">
        <f t="shared" si="10"/>
        <v>3674.6600000000026</v>
      </c>
      <c r="G96" s="20">
        <f>D95*$I$5</f>
        <v>2173.0499999999997</v>
      </c>
    </row>
    <row r="97" spans="1:7" x14ac:dyDescent="0.3">
      <c r="A97" s="1">
        <v>93</v>
      </c>
      <c r="B97" s="4">
        <f>MOD(F97,$H$5)</f>
        <v>3.880000000002255</v>
      </c>
      <c r="C97" s="4">
        <f t="shared" si="11"/>
        <v>227516.45000000016</v>
      </c>
      <c r="D97" s="5">
        <f t="shared" si="9"/>
        <v>24956</v>
      </c>
      <c r="E97" s="6">
        <f>ROUNDDOWN(F97/$H$5,0)</f>
        <v>408</v>
      </c>
      <c r="F97" s="2">
        <f t="shared" si="10"/>
        <v>3716.6800000000021</v>
      </c>
      <c r="G97" s="20">
        <f>D96*$I$5</f>
        <v>2209.3199999999997</v>
      </c>
    </row>
    <row r="98" spans="1:7" x14ac:dyDescent="0.3">
      <c r="A98" s="1">
        <v>94</v>
      </c>
      <c r="B98" s="4">
        <f>MOD(F98,$H$5)</f>
        <v>0.72000000000203812</v>
      </c>
      <c r="C98" s="4">
        <f t="shared" si="11"/>
        <v>231266.37000000017</v>
      </c>
      <c r="D98" s="5">
        <f t="shared" si="9"/>
        <v>25368</v>
      </c>
      <c r="E98" s="6">
        <f>ROUNDDOWN(F98/$H$5,0)</f>
        <v>412</v>
      </c>
      <c r="F98" s="2">
        <f t="shared" si="10"/>
        <v>3749.9200000000019</v>
      </c>
      <c r="G98" s="20">
        <f>D97*$I$5</f>
        <v>2246.04</v>
      </c>
    </row>
    <row r="99" spans="1:7" x14ac:dyDescent="0.3">
      <c r="A99" s="1">
        <v>95</v>
      </c>
      <c r="B99" s="4">
        <f>MOD(F99,$H$5)</f>
        <v>7.3400000000021119</v>
      </c>
      <c r="C99" s="4">
        <f t="shared" si="11"/>
        <v>235050.21000000017</v>
      </c>
      <c r="D99" s="5">
        <f t="shared" si="9"/>
        <v>25783</v>
      </c>
      <c r="E99" s="6">
        <f>ROUNDDOWN(F99/$H$5,0)</f>
        <v>415</v>
      </c>
      <c r="F99" s="2">
        <f t="shared" si="10"/>
        <v>3783.840000000002</v>
      </c>
      <c r="G99" s="20">
        <f>D98*$I$5</f>
        <v>2283.12</v>
      </c>
    </row>
    <row r="100" spans="1:7" x14ac:dyDescent="0.3">
      <c r="A100" s="1">
        <v>96</v>
      </c>
      <c r="B100" s="4">
        <f>MOD(F100,$H$5)</f>
        <v>5.8100000000023684</v>
      </c>
      <c r="C100" s="4">
        <f t="shared" si="11"/>
        <v>238878.02000000016</v>
      </c>
      <c r="D100" s="5">
        <f t="shared" si="9"/>
        <v>26203</v>
      </c>
      <c r="E100" s="6">
        <f>ROUNDDOWN(F100/$H$5,0)</f>
        <v>420</v>
      </c>
      <c r="F100" s="2">
        <f t="shared" si="10"/>
        <v>3827.8100000000022</v>
      </c>
      <c r="G100" s="20">
        <f>D99*$I$5</f>
        <v>2320.4699999999998</v>
      </c>
    </row>
    <row r="101" spans="1:7" x14ac:dyDescent="0.3">
      <c r="A101" s="1">
        <v>97</v>
      </c>
      <c r="B101" s="4">
        <f>MOD(F101,$H$5)</f>
        <v>5.6800000000028064</v>
      </c>
      <c r="C101" s="4">
        <f t="shared" si="11"/>
        <v>242742.10000000018</v>
      </c>
      <c r="D101" s="5">
        <f t="shared" si="9"/>
        <v>26627</v>
      </c>
      <c r="E101" s="6">
        <f>ROUNDDOWN(F101/$H$5,0)</f>
        <v>424</v>
      </c>
      <c r="F101" s="2">
        <f t="shared" si="10"/>
        <v>3864.0800000000027</v>
      </c>
      <c r="G101" s="20">
        <f>D100*$I$5</f>
        <v>2358.27</v>
      </c>
    </row>
    <row r="102" spans="1:7" x14ac:dyDescent="0.3">
      <c r="A102" s="1">
        <v>98</v>
      </c>
      <c r="B102" s="4">
        <f>MOD(F102,$H$5)</f>
        <v>7.3100000000025531</v>
      </c>
      <c r="C102" s="4">
        <f t="shared" si="11"/>
        <v>246644.2100000002</v>
      </c>
      <c r="D102" s="5">
        <f t="shared" si="9"/>
        <v>27055</v>
      </c>
      <c r="E102" s="6">
        <f>ROUNDDOWN(F102/$H$5,0)</f>
        <v>428</v>
      </c>
      <c r="F102" s="2">
        <f t="shared" si="10"/>
        <v>3902.1100000000024</v>
      </c>
      <c r="G102" s="20">
        <f>D101*$I$5</f>
        <v>2396.4299999999998</v>
      </c>
    </row>
    <row r="103" spans="1:7" x14ac:dyDescent="0.3">
      <c r="A103" s="1">
        <v>99</v>
      </c>
      <c r="B103" s="4">
        <f>MOD(F103,$H$5)</f>
        <v>1.9600000000021911</v>
      </c>
      <c r="C103" s="4">
        <f t="shared" si="11"/>
        <v>250586.4700000002</v>
      </c>
      <c r="D103" s="5">
        <f t="shared" si="9"/>
        <v>27488</v>
      </c>
      <c r="E103" s="6">
        <f>ROUNDDOWN(F103/$H$5,0)</f>
        <v>433</v>
      </c>
      <c r="F103" s="2">
        <f t="shared" si="10"/>
        <v>3942.260000000002</v>
      </c>
      <c r="G103" s="20">
        <f>D102*$I$5</f>
        <v>2434.9499999999998</v>
      </c>
    </row>
    <row r="104" spans="1:7" x14ac:dyDescent="0.3">
      <c r="A104" s="1">
        <v>100</v>
      </c>
      <c r="B104" s="4">
        <f>MOD(F104,$H$5)</f>
        <v>8.280000000002083</v>
      </c>
      <c r="C104" s="4">
        <f t="shared" si="11"/>
        <v>254562.35000000021</v>
      </c>
      <c r="D104" s="5">
        <f t="shared" si="9"/>
        <v>27924</v>
      </c>
      <c r="E104" s="6">
        <f>ROUNDDOWN(F104/$H$5,0)</f>
        <v>436</v>
      </c>
      <c r="F104" s="2">
        <f t="shared" si="10"/>
        <v>3975.8800000000019</v>
      </c>
      <c r="G104" s="20">
        <f>D103*$I$5</f>
        <v>2473.92</v>
      </c>
    </row>
    <row r="105" spans="1:7" x14ac:dyDescent="0.3">
      <c r="A105" s="1">
        <v>101</v>
      </c>
      <c r="B105" s="4">
        <f>MOD(F105,$H$5)</f>
        <v>8.3400000000020302</v>
      </c>
      <c r="C105" s="4">
        <f t="shared" si="11"/>
        <v>258583.79000000021</v>
      </c>
      <c r="D105" s="5">
        <f t="shared" si="9"/>
        <v>28365</v>
      </c>
      <c r="E105" s="6">
        <f>ROUNDDOWN(F105/$H$5,0)</f>
        <v>441</v>
      </c>
      <c r="F105" s="2">
        <f t="shared" si="10"/>
        <v>4021.4400000000019</v>
      </c>
      <c r="G105" s="20">
        <f>D104*$I$5</f>
        <v>2513.16</v>
      </c>
    </row>
    <row r="106" spans="1:7" x14ac:dyDescent="0.3">
      <c r="A106" s="1">
        <v>102</v>
      </c>
      <c r="B106" s="4">
        <f>MOD(F106,$H$5)</f>
        <v>2.590000000002032</v>
      </c>
      <c r="C106" s="4">
        <f t="shared" si="11"/>
        <v>262644.98000000021</v>
      </c>
      <c r="D106" s="5">
        <f t="shared" si="9"/>
        <v>28811</v>
      </c>
      <c r="E106" s="6">
        <f>ROUNDDOWN(F106/$H$5,0)</f>
        <v>446</v>
      </c>
      <c r="F106" s="2">
        <f t="shared" si="10"/>
        <v>4061.1900000000019</v>
      </c>
      <c r="G106" s="20">
        <f>D105*$I$5</f>
        <v>2552.85</v>
      </c>
    </row>
    <row r="107" spans="1:7" x14ac:dyDescent="0.3">
      <c r="A107" s="1">
        <v>103</v>
      </c>
      <c r="B107" s="4">
        <f>MOD(F107,$H$5)</f>
        <v>0.5800000000019061</v>
      </c>
      <c r="C107" s="4">
        <f t="shared" si="11"/>
        <v>266740.56000000023</v>
      </c>
      <c r="D107" s="5">
        <f t="shared" si="9"/>
        <v>29261</v>
      </c>
      <c r="E107" s="6">
        <f>ROUNDDOWN(F107/$H$5,0)</f>
        <v>450</v>
      </c>
      <c r="F107" s="2">
        <f t="shared" si="10"/>
        <v>4095.5800000000017</v>
      </c>
      <c r="G107" s="20">
        <f>D106*$I$5</f>
        <v>2592.9899999999998</v>
      </c>
    </row>
    <row r="108" spans="1:7" x14ac:dyDescent="0.3">
      <c r="A108" s="1">
        <v>104</v>
      </c>
      <c r="B108" s="4">
        <f>MOD(F108,$H$5)</f>
        <v>2.6700000000016892</v>
      </c>
      <c r="C108" s="4">
        <f t="shared" si="11"/>
        <v>270874.63000000024</v>
      </c>
      <c r="D108" s="5">
        <f t="shared" si="9"/>
        <v>29715</v>
      </c>
      <c r="E108" s="6">
        <f>ROUNDDOWN(F108/$H$5,0)</f>
        <v>454</v>
      </c>
      <c r="F108" s="2">
        <f t="shared" si="10"/>
        <v>4134.0700000000015</v>
      </c>
      <c r="G108" s="20">
        <f>D107*$I$5</f>
        <v>2633.49</v>
      </c>
    </row>
    <row r="109" spans="1:7" x14ac:dyDescent="0.3">
      <c r="A109" s="1">
        <v>105</v>
      </c>
      <c r="B109" s="4">
        <f>MOD(F109,$H$5)</f>
        <v>0.12000000000150912</v>
      </c>
      <c r="C109" s="4">
        <f t="shared" si="11"/>
        <v>275051.65000000026</v>
      </c>
      <c r="D109" s="5">
        <f t="shared" si="9"/>
        <v>30174</v>
      </c>
      <c r="E109" s="6">
        <f>ROUNDDOWN(F109/$H$5,0)</f>
        <v>459</v>
      </c>
      <c r="F109" s="2">
        <f t="shared" si="10"/>
        <v>4177.0200000000013</v>
      </c>
      <c r="G109" s="20">
        <f>D108*$I$5</f>
        <v>2674.35</v>
      </c>
    </row>
    <row r="110" spans="1:7" x14ac:dyDescent="0.3">
      <c r="A110" s="1">
        <v>106</v>
      </c>
      <c r="B110" s="4">
        <f>MOD(F110,$H$5)</f>
        <v>2.4800000000017288</v>
      </c>
      <c r="C110" s="4">
        <f t="shared" si="11"/>
        <v>279267.43000000028</v>
      </c>
      <c r="D110" s="5">
        <f t="shared" si="9"/>
        <v>30637</v>
      </c>
      <c r="E110" s="6">
        <f>ROUNDDOWN(F110/$H$5,0)</f>
        <v>463</v>
      </c>
      <c r="F110" s="2">
        <f t="shared" si="10"/>
        <v>4215.7800000000016</v>
      </c>
      <c r="G110" s="20">
        <f>D109*$I$5</f>
        <v>2715.66</v>
      </c>
    </row>
    <row r="111" spans="1:7" x14ac:dyDescent="0.3">
      <c r="A111" s="1">
        <v>107</v>
      </c>
      <c r="B111" s="4">
        <f>MOD(F111,$H$5)</f>
        <v>1.0100000000014759</v>
      </c>
      <c r="C111" s="4">
        <f t="shared" si="11"/>
        <v>283527.24000000028</v>
      </c>
      <c r="D111" s="5">
        <f t="shared" si="9"/>
        <v>31105</v>
      </c>
      <c r="E111" s="6">
        <f>ROUNDDOWN(F111/$H$5,0)</f>
        <v>468</v>
      </c>
      <c r="F111" s="2">
        <f t="shared" si="10"/>
        <v>4259.8100000000013</v>
      </c>
      <c r="G111" s="20">
        <f>D110*$I$5</f>
        <v>2757.33</v>
      </c>
    </row>
    <row r="112" spans="1:7" x14ac:dyDescent="0.3">
      <c r="A112" s="1">
        <v>108</v>
      </c>
      <c r="B112" s="4">
        <f>MOD(F112,$H$5)</f>
        <v>5.2600000000011136</v>
      </c>
      <c r="C112" s="4">
        <f t="shared" si="11"/>
        <v>287827.7000000003</v>
      </c>
      <c r="D112" s="5">
        <f t="shared" si="9"/>
        <v>31577</v>
      </c>
      <c r="E112" s="6">
        <f>ROUNDDOWN(F112/$H$5,0)</f>
        <v>472</v>
      </c>
      <c r="F112" s="2">
        <f t="shared" si="10"/>
        <v>4300.4600000000009</v>
      </c>
      <c r="G112" s="20">
        <f>D111*$I$5</f>
        <v>2799.45</v>
      </c>
    </row>
    <row r="113" spans="1:7" x14ac:dyDescent="0.3">
      <c r="A113" s="1">
        <v>109</v>
      </c>
      <c r="B113" s="4">
        <f>MOD(F113,$H$5)</f>
        <v>6.4900000000006788</v>
      </c>
      <c r="C113" s="4">
        <f t="shared" si="11"/>
        <v>292174.89000000031</v>
      </c>
      <c r="D113" s="5">
        <f t="shared" si="9"/>
        <v>32054</v>
      </c>
      <c r="E113" s="6">
        <f>ROUNDDOWN(F113/$H$5,0)</f>
        <v>477</v>
      </c>
      <c r="F113" s="2">
        <f t="shared" si="10"/>
        <v>4347.1900000000005</v>
      </c>
      <c r="G113" s="20">
        <f>D112*$I$5</f>
        <v>2841.93</v>
      </c>
    </row>
    <row r="114" spans="1:7" x14ac:dyDescent="0.3">
      <c r="A114" s="1">
        <v>110</v>
      </c>
      <c r="B114" s="4">
        <f>MOD(F114,$H$5)</f>
        <v>5.150000000000535</v>
      </c>
      <c r="C114" s="4">
        <f t="shared" si="11"/>
        <v>296566.24000000028</v>
      </c>
      <c r="D114" s="5">
        <f t="shared" si="9"/>
        <v>32536</v>
      </c>
      <c r="E114" s="6">
        <f>ROUNDDOWN(F114/$H$5,0)</f>
        <v>482</v>
      </c>
      <c r="F114" s="2">
        <f t="shared" si="10"/>
        <v>4391.3500000000004</v>
      </c>
      <c r="G114" s="20">
        <f>D113*$I$5</f>
        <v>2884.8599999999997</v>
      </c>
    </row>
    <row r="115" spans="1:7" x14ac:dyDescent="0.3">
      <c r="A115" s="1">
        <v>111</v>
      </c>
      <c r="B115" s="4">
        <f>MOD(F115,$H$5)</f>
        <v>1.6900000000005004</v>
      </c>
      <c r="C115" s="4">
        <f t="shared" si="11"/>
        <v>300999.6300000003</v>
      </c>
      <c r="D115" s="5">
        <f t="shared" si="9"/>
        <v>33023</v>
      </c>
      <c r="E115" s="6">
        <f>ROUNDDOWN(F115/$H$5,0)</f>
        <v>487</v>
      </c>
      <c r="F115" s="2">
        <f t="shared" si="10"/>
        <v>4433.3900000000003</v>
      </c>
      <c r="G115" s="20">
        <f>D114*$I$5</f>
        <v>2928.24</v>
      </c>
    </row>
    <row r="116" spans="1:7" x14ac:dyDescent="0.3">
      <c r="A116" s="1">
        <v>112</v>
      </c>
      <c r="B116" s="4">
        <f>MOD(F116,$H$5)</f>
        <v>5.6600000000003927</v>
      </c>
      <c r="C116" s="4">
        <f t="shared" si="11"/>
        <v>305473.39000000031</v>
      </c>
      <c r="D116" s="5">
        <f t="shared" si="9"/>
        <v>33514</v>
      </c>
      <c r="E116" s="6">
        <f>ROUNDDOWN(F116/$H$5,0)</f>
        <v>491</v>
      </c>
      <c r="F116" s="2">
        <f t="shared" si="10"/>
        <v>4473.76</v>
      </c>
      <c r="G116" s="20">
        <f>D115*$I$5</f>
        <v>2972.0699999999997</v>
      </c>
    </row>
    <row r="117" spans="1:7" x14ac:dyDescent="0.3">
      <c r="A117" s="1">
        <v>113</v>
      </c>
      <c r="B117" s="4">
        <f>MOD(F117,$H$5)</f>
        <v>8.320000000000249</v>
      </c>
      <c r="C117" s="4">
        <f t="shared" si="11"/>
        <v>309995.31000000029</v>
      </c>
      <c r="D117" s="5">
        <f t="shared" si="9"/>
        <v>34010</v>
      </c>
      <c r="E117" s="6">
        <f>ROUNDDOWN(F117/$H$5,0)</f>
        <v>496</v>
      </c>
      <c r="F117" s="2">
        <f t="shared" si="10"/>
        <v>4521.92</v>
      </c>
      <c r="G117" s="20">
        <f>D116*$I$5</f>
        <v>3016.2599999999998</v>
      </c>
    </row>
    <row r="118" spans="1:7" x14ac:dyDescent="0.3">
      <c r="A118" s="1">
        <v>114</v>
      </c>
      <c r="B118" s="4">
        <f>MOD(F118,$H$5)</f>
        <v>1.020000000000433</v>
      </c>
      <c r="C118" s="4">
        <f t="shared" si="11"/>
        <v>314564.53000000026</v>
      </c>
      <c r="D118" s="5">
        <f>ROUNDDOWN(D117+E118,0)</f>
        <v>34512</v>
      </c>
      <c r="E118" s="6">
        <f>ROUNDDOWN(F118/$H$5,0)</f>
        <v>502</v>
      </c>
      <c r="F118" s="2">
        <f t="shared" si="10"/>
        <v>4569.22</v>
      </c>
      <c r="G118" s="20">
        <f>D117*$I$5</f>
        <v>3060.9</v>
      </c>
    </row>
    <row r="119" spans="1:7" x14ac:dyDescent="0.3">
      <c r="A119" s="1">
        <v>115</v>
      </c>
      <c r="B119" s="4">
        <f>MOD(F119,$H$5)</f>
        <v>2.5000000000005436</v>
      </c>
      <c r="C119" s="4">
        <f t="shared" si="11"/>
        <v>319171.63000000024</v>
      </c>
      <c r="D119" s="5">
        <f t="shared" si="9"/>
        <v>35018</v>
      </c>
      <c r="E119" s="6">
        <f>ROUNDDOWN(F119/$H$5,0)</f>
        <v>506</v>
      </c>
      <c r="F119" s="2">
        <f t="shared" si="10"/>
        <v>4607.1000000000004</v>
      </c>
      <c r="G119" s="20">
        <f>D118*$I$5</f>
        <v>3106.08</v>
      </c>
    </row>
    <row r="120" spans="1:7" x14ac:dyDescent="0.3">
      <c r="A120" s="1">
        <v>116</v>
      </c>
      <c r="B120" s="4">
        <f>MOD(F120,$H$5)</f>
        <v>4.0200000000009819</v>
      </c>
      <c r="C120" s="4">
        <f t="shared" si="11"/>
        <v>323825.75000000023</v>
      </c>
      <c r="D120" s="5">
        <f t="shared" si="9"/>
        <v>35529</v>
      </c>
      <c r="E120" s="6">
        <f>ROUNDDOWN(F120/$H$5,0)</f>
        <v>511</v>
      </c>
      <c r="F120" s="2">
        <f t="shared" si="10"/>
        <v>4654.1200000000008</v>
      </c>
      <c r="G120" s="20">
        <f>D119*$I$5</f>
        <v>3151.62</v>
      </c>
    </row>
    <row r="121" spans="1:7" x14ac:dyDescent="0.3">
      <c r="A121" s="1">
        <v>117</v>
      </c>
      <c r="B121" s="4">
        <f>MOD(F121,$H$5)</f>
        <v>6.030000000001202</v>
      </c>
      <c r="C121" s="4">
        <f t="shared" si="11"/>
        <v>328527.38000000024</v>
      </c>
      <c r="D121" s="5">
        <f t="shared" si="9"/>
        <v>36045</v>
      </c>
      <c r="E121" s="6">
        <f>ROUNDDOWN(F121/$H$5,0)</f>
        <v>516</v>
      </c>
      <c r="F121" s="2">
        <f t="shared" si="10"/>
        <v>4701.630000000001</v>
      </c>
      <c r="G121" s="20">
        <f>D120*$I$5</f>
        <v>3197.6099999999997</v>
      </c>
    </row>
    <row r="122" spans="1:7" x14ac:dyDescent="0.3">
      <c r="A122" s="1">
        <v>118</v>
      </c>
      <c r="B122" s="4">
        <f>MOD(F122,$H$5)</f>
        <v>8.9800000000010218</v>
      </c>
      <c r="C122" s="4">
        <f t="shared" si="11"/>
        <v>333277.46000000025</v>
      </c>
      <c r="D122" s="5">
        <f t="shared" si="9"/>
        <v>36566</v>
      </c>
      <c r="E122" s="6">
        <f>ROUNDDOWN(F122/$H$5,0)</f>
        <v>521</v>
      </c>
      <c r="F122" s="2">
        <f t="shared" si="10"/>
        <v>4750.0800000000008</v>
      </c>
      <c r="G122" s="20">
        <f>D121*$I$5</f>
        <v>3244.0499999999997</v>
      </c>
    </row>
    <row r="123" spans="1:7" x14ac:dyDescent="0.3">
      <c r="A123" s="1">
        <v>119</v>
      </c>
      <c r="B123" s="4">
        <f>MOD(F123,$H$5)</f>
        <v>4.2200000000011695</v>
      </c>
      <c r="C123" s="4">
        <f t="shared" si="11"/>
        <v>338077.38000000024</v>
      </c>
      <c r="D123" s="5">
        <f t="shared" si="9"/>
        <v>37093</v>
      </c>
      <c r="E123" s="6">
        <f>ROUNDDOWN(F123/$H$5,0)</f>
        <v>527</v>
      </c>
      <c r="F123" s="2">
        <f t="shared" si="10"/>
        <v>4799.920000000001</v>
      </c>
      <c r="G123" s="20">
        <f>D122*$I$5</f>
        <v>3290.94</v>
      </c>
    </row>
    <row r="124" spans="1:7" x14ac:dyDescent="0.3">
      <c r="A124" s="1">
        <v>120</v>
      </c>
      <c r="B124" s="4">
        <f>MOD(F124,$H$5)</f>
        <v>1.390000000001244</v>
      </c>
      <c r="C124" s="4">
        <f t="shared" si="11"/>
        <v>342919.97000000026</v>
      </c>
      <c r="D124" s="5">
        <f t="shared" si="9"/>
        <v>37625</v>
      </c>
      <c r="E124" s="6">
        <f>ROUNDDOWN(F124/$H$5,0)</f>
        <v>532</v>
      </c>
      <c r="F124" s="2">
        <f t="shared" si="10"/>
        <v>4842.5900000000011</v>
      </c>
      <c r="G124" s="20">
        <f>D123*$I$5</f>
        <v>3338.37</v>
      </c>
    </row>
    <row r="125" spans="1:7" x14ac:dyDescent="0.3">
      <c r="A125" s="1">
        <v>121</v>
      </c>
      <c r="B125" s="4">
        <f t="shared" ref="B125:B188" si="12">MOD(F125,$H$5)</f>
        <v>0.94000000000142769</v>
      </c>
      <c r="C125" s="4">
        <f t="shared" ref="C125:C188" si="13">C124+F125</f>
        <v>347807.61000000028</v>
      </c>
      <c r="D125" s="5">
        <f t="shared" ref="D125:D188" si="14">ROUNDDOWN(D124+E125,0)</f>
        <v>38162</v>
      </c>
      <c r="E125" s="6">
        <f t="shared" ref="E125:E188" si="15">ROUNDDOWN(F125/$H$5,0)</f>
        <v>537</v>
      </c>
      <c r="F125" s="2">
        <f t="shared" ref="F125:F188" si="16">$F$5+B124+G125</f>
        <v>4887.6400000000012</v>
      </c>
      <c r="G125" s="20">
        <f t="shared" ref="G125:G188" si="17">D124*$I$5</f>
        <v>3386.25</v>
      </c>
    </row>
    <row r="126" spans="1:7" x14ac:dyDescent="0.3">
      <c r="A126" s="1">
        <v>122</v>
      </c>
      <c r="B126" s="4">
        <f t="shared" si="12"/>
        <v>3.3200000000015386</v>
      </c>
      <c r="C126" s="4">
        <f t="shared" si="13"/>
        <v>352743.1300000003</v>
      </c>
      <c r="D126" s="5">
        <f t="shared" si="14"/>
        <v>38704</v>
      </c>
      <c r="E126" s="6">
        <f t="shared" si="15"/>
        <v>542</v>
      </c>
      <c r="F126" s="2">
        <f t="shared" si="16"/>
        <v>4935.5200000000013</v>
      </c>
      <c r="G126" s="20">
        <f t="shared" si="17"/>
        <v>3434.58</v>
      </c>
    </row>
    <row r="127" spans="1:7" x14ac:dyDescent="0.3">
      <c r="A127" s="1">
        <v>123</v>
      </c>
      <c r="B127" s="4">
        <f t="shared" si="12"/>
        <v>8.9800000000013949</v>
      </c>
      <c r="C127" s="4">
        <f t="shared" si="13"/>
        <v>357729.81000000029</v>
      </c>
      <c r="D127" s="5">
        <f t="shared" si="14"/>
        <v>39251</v>
      </c>
      <c r="E127" s="6">
        <f t="shared" si="15"/>
        <v>547</v>
      </c>
      <c r="F127" s="2">
        <f t="shared" si="16"/>
        <v>4986.6800000000012</v>
      </c>
      <c r="G127" s="20">
        <f t="shared" si="17"/>
        <v>3483.3599999999997</v>
      </c>
    </row>
    <row r="128" spans="1:7" x14ac:dyDescent="0.3">
      <c r="A128" s="1">
        <v>124</v>
      </c>
      <c r="B128" s="4">
        <f t="shared" si="12"/>
        <v>0.17000000000172477</v>
      </c>
      <c r="C128" s="4">
        <f t="shared" si="13"/>
        <v>362771.3800000003</v>
      </c>
      <c r="D128" s="5">
        <f t="shared" si="14"/>
        <v>39805</v>
      </c>
      <c r="E128" s="6">
        <f t="shared" si="15"/>
        <v>554</v>
      </c>
      <c r="F128" s="2">
        <f t="shared" si="16"/>
        <v>5041.5700000000015</v>
      </c>
      <c r="G128" s="20">
        <f t="shared" si="17"/>
        <v>3532.5899999999997</v>
      </c>
    </row>
    <row r="129" spans="1:7" x14ac:dyDescent="0.3">
      <c r="A129" s="1">
        <v>125</v>
      </c>
      <c r="B129" s="4">
        <f t="shared" si="12"/>
        <v>4.8200000000019081</v>
      </c>
      <c r="C129" s="4">
        <f t="shared" si="13"/>
        <v>367854.00000000029</v>
      </c>
      <c r="D129" s="5">
        <f t="shared" si="14"/>
        <v>40363</v>
      </c>
      <c r="E129" s="6">
        <f t="shared" si="15"/>
        <v>558</v>
      </c>
      <c r="F129" s="2">
        <f t="shared" si="16"/>
        <v>5082.6200000000017</v>
      </c>
      <c r="G129" s="20">
        <f t="shared" si="17"/>
        <v>3582.45</v>
      </c>
    </row>
    <row r="130" spans="1:7" x14ac:dyDescent="0.3">
      <c r="A130" s="1">
        <v>126</v>
      </c>
      <c r="B130" s="4">
        <f t="shared" si="12"/>
        <v>5.0900000000018011</v>
      </c>
      <c r="C130" s="4">
        <f t="shared" si="13"/>
        <v>372991.49000000028</v>
      </c>
      <c r="D130" s="5">
        <f t="shared" si="14"/>
        <v>40927</v>
      </c>
      <c r="E130" s="6">
        <f t="shared" si="15"/>
        <v>564</v>
      </c>
      <c r="F130" s="2">
        <f t="shared" si="16"/>
        <v>5137.4900000000016</v>
      </c>
      <c r="G130" s="20">
        <f t="shared" si="17"/>
        <v>3632.67</v>
      </c>
    </row>
    <row r="131" spans="1:7" x14ac:dyDescent="0.3">
      <c r="A131" s="1">
        <v>127</v>
      </c>
      <c r="B131" s="4">
        <f t="shared" si="12"/>
        <v>1.5200000000015486</v>
      </c>
      <c r="C131" s="4">
        <f t="shared" si="13"/>
        <v>378180.0100000003</v>
      </c>
      <c r="D131" s="5">
        <f t="shared" si="14"/>
        <v>41497</v>
      </c>
      <c r="E131" s="6">
        <f t="shared" si="15"/>
        <v>570</v>
      </c>
      <c r="F131" s="2">
        <f t="shared" si="16"/>
        <v>5188.5200000000013</v>
      </c>
      <c r="G131" s="20">
        <f t="shared" si="17"/>
        <v>3683.43</v>
      </c>
    </row>
    <row r="132" spans="1:7" x14ac:dyDescent="0.3">
      <c r="A132" s="1">
        <v>128</v>
      </c>
      <c r="B132" s="4">
        <f t="shared" si="12"/>
        <v>3.7500000000020233</v>
      </c>
      <c r="C132" s="4">
        <f t="shared" si="13"/>
        <v>383416.2600000003</v>
      </c>
      <c r="D132" s="5">
        <f t="shared" si="14"/>
        <v>42072</v>
      </c>
      <c r="E132" s="6">
        <f t="shared" si="15"/>
        <v>575</v>
      </c>
      <c r="F132" s="2">
        <f t="shared" si="16"/>
        <v>5236.2500000000018</v>
      </c>
      <c r="G132" s="20">
        <f t="shared" si="17"/>
        <v>3734.73</v>
      </c>
    </row>
    <row r="133" spans="1:7" x14ac:dyDescent="0.3">
      <c r="A133" s="1">
        <v>129</v>
      </c>
      <c r="B133" s="4">
        <f t="shared" si="12"/>
        <v>3.1300000000024983</v>
      </c>
      <c r="C133" s="4">
        <f t="shared" si="13"/>
        <v>388706.49000000028</v>
      </c>
      <c r="D133" s="5">
        <f t="shared" si="14"/>
        <v>42653</v>
      </c>
      <c r="E133" s="6">
        <f t="shared" si="15"/>
        <v>581</v>
      </c>
      <c r="F133" s="2">
        <f t="shared" si="16"/>
        <v>5290.2300000000023</v>
      </c>
      <c r="G133" s="20">
        <f t="shared" si="17"/>
        <v>3786.48</v>
      </c>
    </row>
    <row r="134" spans="1:7" x14ac:dyDescent="0.3">
      <c r="A134" s="1">
        <v>130</v>
      </c>
      <c r="B134" s="4">
        <f t="shared" si="12"/>
        <v>0.20000000000257323</v>
      </c>
      <c r="C134" s="4">
        <f t="shared" si="13"/>
        <v>394048.39000000031</v>
      </c>
      <c r="D134" s="5">
        <f t="shared" si="14"/>
        <v>43240</v>
      </c>
      <c r="E134" s="6">
        <f t="shared" si="15"/>
        <v>587</v>
      </c>
      <c r="F134" s="2">
        <f t="shared" si="16"/>
        <v>5341.9000000000024</v>
      </c>
      <c r="G134" s="20">
        <f t="shared" si="17"/>
        <v>3838.77</v>
      </c>
    </row>
    <row r="135" spans="1:7" x14ac:dyDescent="0.3">
      <c r="A135" s="1">
        <v>131</v>
      </c>
      <c r="B135" s="4">
        <f t="shared" si="12"/>
        <v>4.6000000000031207</v>
      </c>
      <c r="C135" s="4">
        <f t="shared" si="13"/>
        <v>399440.19000000029</v>
      </c>
      <c r="D135" s="5">
        <f t="shared" si="14"/>
        <v>43832</v>
      </c>
      <c r="E135" s="6">
        <f t="shared" si="15"/>
        <v>592</v>
      </c>
      <c r="F135" s="2">
        <f t="shared" si="16"/>
        <v>5391.8000000000029</v>
      </c>
      <c r="G135" s="20">
        <f t="shared" si="17"/>
        <v>3891.6</v>
      </c>
    </row>
    <row r="136" spans="1:7" x14ac:dyDescent="0.3">
      <c r="A136" s="1">
        <v>132</v>
      </c>
      <c r="B136" s="4">
        <f t="shared" si="12"/>
        <v>7.6800000000034139</v>
      </c>
      <c r="C136" s="4">
        <f t="shared" si="13"/>
        <v>404889.67000000027</v>
      </c>
      <c r="D136" s="5">
        <f t="shared" si="14"/>
        <v>44430</v>
      </c>
      <c r="E136" s="6">
        <f t="shared" si="15"/>
        <v>598</v>
      </c>
      <c r="F136" s="2">
        <f t="shared" si="16"/>
        <v>5449.4800000000032</v>
      </c>
      <c r="G136" s="20">
        <f t="shared" si="17"/>
        <v>3944.8799999999997</v>
      </c>
    </row>
    <row r="137" spans="1:7" x14ac:dyDescent="0.3">
      <c r="A137" s="1">
        <v>133</v>
      </c>
      <c r="B137" s="4">
        <f t="shared" si="12"/>
        <v>0.88000000000305256</v>
      </c>
      <c r="C137" s="4">
        <f t="shared" si="13"/>
        <v>410396.05000000028</v>
      </c>
      <c r="D137" s="5">
        <f t="shared" si="14"/>
        <v>45035</v>
      </c>
      <c r="E137" s="6">
        <f t="shared" si="15"/>
        <v>605</v>
      </c>
      <c r="F137" s="2">
        <f t="shared" si="16"/>
        <v>5506.3800000000028</v>
      </c>
      <c r="G137" s="20">
        <f t="shared" si="17"/>
        <v>3998.7</v>
      </c>
    </row>
    <row r="138" spans="1:7" x14ac:dyDescent="0.3">
      <c r="A138" s="1">
        <v>134</v>
      </c>
      <c r="B138" s="4">
        <f t="shared" si="12"/>
        <v>3.0300000000026905</v>
      </c>
      <c r="C138" s="4">
        <f t="shared" si="13"/>
        <v>415950.08000000031</v>
      </c>
      <c r="D138" s="5">
        <f t="shared" si="14"/>
        <v>45645</v>
      </c>
      <c r="E138" s="6">
        <f t="shared" si="15"/>
        <v>610</v>
      </c>
      <c r="F138" s="2">
        <f t="shared" si="16"/>
        <v>5554.0300000000025</v>
      </c>
      <c r="G138" s="20">
        <f t="shared" si="17"/>
        <v>4053.1499999999996</v>
      </c>
    </row>
    <row r="139" spans="1:7" x14ac:dyDescent="0.3">
      <c r="A139" s="1">
        <v>135</v>
      </c>
      <c r="B139" s="4">
        <f t="shared" si="12"/>
        <v>5.4800000000028746</v>
      </c>
      <c r="C139" s="4">
        <f t="shared" si="13"/>
        <v>421561.16000000032</v>
      </c>
      <c r="D139" s="5">
        <f t="shared" si="14"/>
        <v>46261</v>
      </c>
      <c r="E139" s="6">
        <f t="shared" si="15"/>
        <v>616</v>
      </c>
      <c r="F139" s="2">
        <f t="shared" si="16"/>
        <v>5611.0800000000027</v>
      </c>
      <c r="G139" s="20">
        <f t="shared" si="17"/>
        <v>4108.05</v>
      </c>
    </row>
    <row r="140" spans="1:7" x14ac:dyDescent="0.3">
      <c r="A140" s="1">
        <v>136</v>
      </c>
      <c r="B140" s="4">
        <f t="shared" si="12"/>
        <v>8.7700000000032041</v>
      </c>
      <c r="C140" s="4">
        <f t="shared" si="13"/>
        <v>427230.13000000035</v>
      </c>
      <c r="D140" s="5">
        <f t="shared" si="14"/>
        <v>46883</v>
      </c>
      <c r="E140" s="6">
        <f t="shared" si="15"/>
        <v>622</v>
      </c>
      <c r="F140" s="2">
        <f t="shared" si="16"/>
        <v>5668.970000000003</v>
      </c>
      <c r="G140" s="20">
        <f t="shared" si="17"/>
        <v>4163.49</v>
      </c>
    </row>
    <row r="141" spans="1:7" x14ac:dyDescent="0.3">
      <c r="A141" s="1">
        <v>137</v>
      </c>
      <c r="B141" s="4">
        <f t="shared" si="12"/>
        <v>4.3400000000036432</v>
      </c>
      <c r="C141" s="4">
        <f t="shared" si="13"/>
        <v>432958.37000000034</v>
      </c>
      <c r="D141" s="5">
        <f t="shared" si="14"/>
        <v>47512</v>
      </c>
      <c r="E141" s="6">
        <f t="shared" si="15"/>
        <v>629</v>
      </c>
      <c r="F141" s="2">
        <f t="shared" si="16"/>
        <v>5728.2400000000034</v>
      </c>
      <c r="G141" s="20">
        <f t="shared" si="17"/>
        <v>4219.47</v>
      </c>
    </row>
    <row r="142" spans="1:7" x14ac:dyDescent="0.3">
      <c r="A142" s="1">
        <v>138</v>
      </c>
      <c r="B142" s="4">
        <f t="shared" si="12"/>
        <v>1.9200000000039363</v>
      </c>
      <c r="C142" s="4">
        <f t="shared" si="13"/>
        <v>438738.79000000033</v>
      </c>
      <c r="D142" s="5">
        <f t="shared" si="14"/>
        <v>48147</v>
      </c>
      <c r="E142" s="6">
        <f t="shared" si="15"/>
        <v>635</v>
      </c>
      <c r="F142" s="2">
        <f t="shared" si="16"/>
        <v>5780.4200000000037</v>
      </c>
      <c r="G142" s="20">
        <f t="shared" si="17"/>
        <v>4276.08</v>
      </c>
    </row>
    <row r="143" spans="1:7" x14ac:dyDescent="0.3">
      <c r="A143" s="1">
        <v>139</v>
      </c>
      <c r="B143" s="4">
        <f t="shared" si="12"/>
        <v>2.0500000000035019</v>
      </c>
      <c r="C143" s="4">
        <f t="shared" si="13"/>
        <v>444573.94000000035</v>
      </c>
      <c r="D143" s="5">
        <f t="shared" si="14"/>
        <v>48788</v>
      </c>
      <c r="E143" s="6">
        <f t="shared" si="15"/>
        <v>641</v>
      </c>
      <c r="F143" s="2">
        <f t="shared" si="16"/>
        <v>5835.1500000000033</v>
      </c>
      <c r="G143" s="20">
        <f t="shared" si="17"/>
        <v>4333.2299999999996</v>
      </c>
    </row>
    <row r="144" spans="1:7" x14ac:dyDescent="0.3">
      <c r="A144" s="1">
        <v>140</v>
      </c>
      <c r="B144" s="4">
        <f t="shared" si="12"/>
        <v>5.2700000000041225</v>
      </c>
      <c r="C144" s="4">
        <f t="shared" si="13"/>
        <v>450466.91000000038</v>
      </c>
      <c r="D144" s="5">
        <f t="shared" si="14"/>
        <v>49435</v>
      </c>
      <c r="E144" s="6">
        <f t="shared" si="15"/>
        <v>647</v>
      </c>
      <c r="F144" s="2">
        <f t="shared" si="16"/>
        <v>5892.9700000000039</v>
      </c>
      <c r="G144" s="20">
        <f t="shared" si="17"/>
        <v>4390.92</v>
      </c>
    </row>
    <row r="145" spans="1:7" x14ac:dyDescent="0.3">
      <c r="A145" s="1">
        <v>141</v>
      </c>
      <c r="B145" s="4">
        <f t="shared" si="12"/>
        <v>3.0200000000039431</v>
      </c>
      <c r="C145" s="4">
        <f t="shared" si="13"/>
        <v>456421.33000000037</v>
      </c>
      <c r="D145" s="5">
        <f t="shared" si="14"/>
        <v>50089</v>
      </c>
      <c r="E145" s="6">
        <f t="shared" si="15"/>
        <v>654</v>
      </c>
      <c r="F145" s="2">
        <f t="shared" si="16"/>
        <v>5954.4200000000037</v>
      </c>
      <c r="G145" s="20">
        <f t="shared" si="17"/>
        <v>4449.1499999999996</v>
      </c>
    </row>
    <row r="146" spans="1:7" x14ac:dyDescent="0.3">
      <c r="A146" s="1">
        <v>142</v>
      </c>
      <c r="B146" s="4">
        <f t="shared" si="12"/>
        <v>5.0300000000045273</v>
      </c>
      <c r="C146" s="4">
        <f t="shared" si="13"/>
        <v>462432.36000000039</v>
      </c>
      <c r="D146" s="5">
        <f t="shared" si="14"/>
        <v>50749</v>
      </c>
      <c r="E146" s="6">
        <f t="shared" si="15"/>
        <v>660</v>
      </c>
      <c r="F146" s="2">
        <f t="shared" si="16"/>
        <v>6011.0300000000043</v>
      </c>
      <c r="G146" s="20">
        <f t="shared" si="17"/>
        <v>4508.01</v>
      </c>
    </row>
    <row r="147" spans="1:7" x14ac:dyDescent="0.3">
      <c r="A147" s="1">
        <v>143</v>
      </c>
      <c r="B147" s="4">
        <f t="shared" si="12"/>
        <v>2.7400000000043843</v>
      </c>
      <c r="C147" s="4">
        <f t="shared" si="13"/>
        <v>468504.8000000004</v>
      </c>
      <c r="D147" s="5">
        <f t="shared" si="14"/>
        <v>51416</v>
      </c>
      <c r="E147" s="6">
        <f t="shared" si="15"/>
        <v>667</v>
      </c>
      <c r="F147" s="2">
        <f t="shared" si="16"/>
        <v>6072.4400000000041</v>
      </c>
      <c r="G147" s="20">
        <f t="shared" si="17"/>
        <v>4567.41</v>
      </c>
    </row>
    <row r="148" spans="1:7" x14ac:dyDescent="0.3">
      <c r="A148" s="1">
        <v>144</v>
      </c>
      <c r="B148" s="4">
        <f t="shared" si="12"/>
        <v>5.8800000000041681</v>
      </c>
      <c r="C148" s="4">
        <f t="shared" si="13"/>
        <v>474634.98000000039</v>
      </c>
      <c r="D148" s="5">
        <f t="shared" si="14"/>
        <v>52089</v>
      </c>
      <c r="E148" s="6">
        <f t="shared" si="15"/>
        <v>673</v>
      </c>
      <c r="F148" s="2">
        <f t="shared" si="16"/>
        <v>6130.1800000000039</v>
      </c>
      <c r="G148" s="20">
        <f t="shared" si="17"/>
        <v>4627.4399999999996</v>
      </c>
    </row>
    <row r="149" spans="1:7" x14ac:dyDescent="0.3">
      <c r="A149" s="1">
        <v>145</v>
      </c>
      <c r="B149" s="4">
        <f t="shared" si="12"/>
        <v>5.8900000000051165</v>
      </c>
      <c r="C149" s="4">
        <f t="shared" si="13"/>
        <v>480828.8700000004</v>
      </c>
      <c r="D149" s="5">
        <f t="shared" si="14"/>
        <v>52769</v>
      </c>
      <c r="E149" s="6">
        <f t="shared" si="15"/>
        <v>680</v>
      </c>
      <c r="F149" s="2">
        <f t="shared" si="16"/>
        <v>6193.8900000000049</v>
      </c>
      <c r="G149" s="20">
        <f t="shared" si="17"/>
        <v>4688.01</v>
      </c>
    </row>
    <row r="150" spans="1:7" x14ac:dyDescent="0.3">
      <c r="A150" s="1">
        <v>146</v>
      </c>
      <c r="B150" s="4">
        <f t="shared" si="12"/>
        <v>3.4000000000051553</v>
      </c>
      <c r="C150" s="4">
        <f t="shared" si="13"/>
        <v>487083.97000000038</v>
      </c>
      <c r="D150" s="5">
        <f t="shared" si="14"/>
        <v>53456</v>
      </c>
      <c r="E150" s="6">
        <f t="shared" si="15"/>
        <v>687</v>
      </c>
      <c r="F150" s="2">
        <f t="shared" si="16"/>
        <v>6255.1000000000049</v>
      </c>
      <c r="G150" s="20">
        <f t="shared" si="17"/>
        <v>4749.21</v>
      </c>
    </row>
    <row r="151" spans="1:7" x14ac:dyDescent="0.3">
      <c r="A151" s="1">
        <v>147</v>
      </c>
      <c r="B151" s="4">
        <f t="shared" si="12"/>
        <v>8.140000000005303</v>
      </c>
      <c r="C151" s="4">
        <f t="shared" si="13"/>
        <v>493398.41000000038</v>
      </c>
      <c r="D151" s="5">
        <f t="shared" si="14"/>
        <v>54149</v>
      </c>
      <c r="E151" s="6">
        <f t="shared" si="15"/>
        <v>693</v>
      </c>
      <c r="F151" s="2">
        <f t="shared" si="16"/>
        <v>6314.4400000000051</v>
      </c>
      <c r="G151" s="20">
        <f t="shared" si="17"/>
        <v>4811.04</v>
      </c>
    </row>
    <row r="152" spans="1:7" x14ac:dyDescent="0.3">
      <c r="A152" s="1">
        <v>148</v>
      </c>
      <c r="B152" s="4">
        <f t="shared" si="12"/>
        <v>2.4500000000049784</v>
      </c>
      <c r="C152" s="4">
        <f t="shared" si="13"/>
        <v>499779.96000000037</v>
      </c>
      <c r="D152" s="5">
        <f t="shared" si="14"/>
        <v>54850</v>
      </c>
      <c r="E152" s="6">
        <f t="shared" si="15"/>
        <v>701</v>
      </c>
      <c r="F152" s="2">
        <f t="shared" si="16"/>
        <v>6381.5500000000047</v>
      </c>
      <c r="G152" s="20">
        <f t="shared" si="17"/>
        <v>4873.41</v>
      </c>
    </row>
    <row r="153" spans="1:7" x14ac:dyDescent="0.3">
      <c r="A153" s="1">
        <v>149</v>
      </c>
      <c r="B153" s="4">
        <f t="shared" si="12"/>
        <v>5.2500000000055262</v>
      </c>
      <c r="C153" s="4">
        <f t="shared" si="13"/>
        <v>506218.91000000038</v>
      </c>
      <c r="D153" s="5">
        <f t="shared" si="14"/>
        <v>55557</v>
      </c>
      <c r="E153" s="6">
        <f t="shared" si="15"/>
        <v>707</v>
      </c>
      <c r="F153" s="2">
        <f t="shared" si="16"/>
        <v>6438.9500000000053</v>
      </c>
      <c r="G153" s="20">
        <f t="shared" si="17"/>
        <v>4936.5</v>
      </c>
    </row>
    <row r="154" spans="1:7" x14ac:dyDescent="0.3">
      <c r="A154" s="1">
        <v>150</v>
      </c>
      <c r="B154" s="4">
        <f t="shared" si="12"/>
        <v>7.9800000000058198</v>
      </c>
      <c r="C154" s="4">
        <f t="shared" si="13"/>
        <v>512724.29000000039</v>
      </c>
      <c r="D154" s="5">
        <f t="shared" si="14"/>
        <v>56271</v>
      </c>
      <c r="E154" s="6">
        <f t="shared" si="15"/>
        <v>714</v>
      </c>
      <c r="F154" s="2">
        <f t="shared" si="16"/>
        <v>6505.3800000000056</v>
      </c>
      <c r="G154" s="20">
        <f t="shared" si="17"/>
        <v>5000.13</v>
      </c>
    </row>
    <row r="155" spans="1:7" x14ac:dyDescent="0.3">
      <c r="A155" s="1">
        <v>151</v>
      </c>
      <c r="B155" s="4">
        <f t="shared" si="12"/>
        <v>2.1700000000056043</v>
      </c>
      <c r="C155" s="4">
        <f t="shared" si="13"/>
        <v>519296.66000000038</v>
      </c>
      <c r="D155" s="5">
        <f t="shared" si="14"/>
        <v>56993</v>
      </c>
      <c r="E155" s="6">
        <f t="shared" si="15"/>
        <v>722</v>
      </c>
      <c r="F155" s="2">
        <f t="shared" si="16"/>
        <v>6572.3700000000053</v>
      </c>
      <c r="G155" s="20">
        <f t="shared" si="17"/>
        <v>5064.3899999999994</v>
      </c>
    </row>
    <row r="156" spans="1:7" x14ac:dyDescent="0.3">
      <c r="A156" s="1">
        <v>152</v>
      </c>
      <c r="B156" s="4">
        <f t="shared" si="12"/>
        <v>6.7400000000056792</v>
      </c>
      <c r="C156" s="4">
        <f t="shared" si="13"/>
        <v>525928.20000000042</v>
      </c>
      <c r="D156" s="5">
        <f t="shared" si="14"/>
        <v>57721</v>
      </c>
      <c r="E156" s="6">
        <f t="shared" si="15"/>
        <v>728</v>
      </c>
      <c r="F156" s="2">
        <f t="shared" si="16"/>
        <v>6631.5400000000054</v>
      </c>
      <c r="G156" s="20">
        <f t="shared" si="17"/>
        <v>5129.37</v>
      </c>
    </row>
    <row r="157" spans="1:7" x14ac:dyDescent="0.3">
      <c r="A157" s="1">
        <v>153</v>
      </c>
      <c r="B157" s="4">
        <f t="shared" si="12"/>
        <v>4.0300000000049181</v>
      </c>
      <c r="C157" s="4">
        <f t="shared" si="13"/>
        <v>532629.83000000042</v>
      </c>
      <c r="D157" s="5">
        <f t="shared" si="14"/>
        <v>58457</v>
      </c>
      <c r="E157" s="6">
        <f t="shared" si="15"/>
        <v>736</v>
      </c>
      <c r="F157" s="2">
        <f t="shared" si="16"/>
        <v>6701.6300000000047</v>
      </c>
      <c r="G157" s="20">
        <f t="shared" si="17"/>
        <v>5194.8899999999994</v>
      </c>
    </row>
    <row r="158" spans="1:7" x14ac:dyDescent="0.3">
      <c r="A158" s="1">
        <v>154</v>
      </c>
      <c r="B158" s="4">
        <f t="shared" si="12"/>
        <v>3.8600000000055754</v>
      </c>
      <c r="C158" s="4">
        <f t="shared" si="13"/>
        <v>539394.99000000046</v>
      </c>
      <c r="D158" s="5">
        <f t="shared" si="14"/>
        <v>59200</v>
      </c>
      <c r="E158" s="6">
        <f t="shared" si="15"/>
        <v>743</v>
      </c>
      <c r="F158" s="2">
        <f t="shared" si="16"/>
        <v>6765.1600000000053</v>
      </c>
      <c r="G158" s="20">
        <f t="shared" si="17"/>
        <v>5261.13</v>
      </c>
    </row>
    <row r="159" spans="1:7" x14ac:dyDescent="0.3">
      <c r="A159" s="1">
        <v>155</v>
      </c>
      <c r="B159" s="4">
        <f t="shared" si="12"/>
        <v>6.8600000000063055</v>
      </c>
      <c r="C159" s="4">
        <f t="shared" si="13"/>
        <v>546226.85000000044</v>
      </c>
      <c r="D159" s="5">
        <f t="shared" si="14"/>
        <v>59950</v>
      </c>
      <c r="E159" s="6">
        <f t="shared" si="15"/>
        <v>750</v>
      </c>
      <c r="F159" s="2">
        <f t="shared" si="16"/>
        <v>6831.860000000006</v>
      </c>
      <c r="G159" s="20">
        <f t="shared" si="17"/>
        <v>5328</v>
      </c>
    </row>
    <row r="160" spans="1:7" x14ac:dyDescent="0.3">
      <c r="A160" s="1">
        <v>156</v>
      </c>
      <c r="B160" s="4">
        <f t="shared" si="12"/>
        <v>4.5600000000063083</v>
      </c>
      <c r="C160" s="4">
        <f t="shared" si="13"/>
        <v>553129.21000000043</v>
      </c>
      <c r="D160" s="5">
        <f t="shared" si="14"/>
        <v>60708</v>
      </c>
      <c r="E160" s="6">
        <f t="shared" si="15"/>
        <v>758</v>
      </c>
      <c r="F160" s="2">
        <f t="shared" si="16"/>
        <v>6902.360000000006</v>
      </c>
      <c r="G160" s="20">
        <f t="shared" si="17"/>
        <v>5395.5</v>
      </c>
    </row>
    <row r="161" spans="1:7" x14ac:dyDescent="0.3">
      <c r="A161" s="1">
        <v>157</v>
      </c>
      <c r="B161" s="4">
        <f t="shared" si="12"/>
        <v>6.7800000000063836</v>
      </c>
      <c r="C161" s="4">
        <f t="shared" si="13"/>
        <v>560097.49000000046</v>
      </c>
      <c r="D161" s="5">
        <f t="shared" si="14"/>
        <v>61473</v>
      </c>
      <c r="E161" s="6">
        <f t="shared" si="15"/>
        <v>765</v>
      </c>
      <c r="F161" s="2">
        <f t="shared" si="16"/>
        <v>6968.2800000000061</v>
      </c>
      <c r="G161" s="20">
        <f t="shared" si="17"/>
        <v>5463.7199999999993</v>
      </c>
    </row>
    <row r="162" spans="1:7" x14ac:dyDescent="0.3">
      <c r="A162" s="1">
        <v>158</v>
      </c>
      <c r="B162" s="4">
        <f t="shared" si="12"/>
        <v>5.0500000000060954</v>
      </c>
      <c r="C162" s="4">
        <f t="shared" si="13"/>
        <v>567136.84000000043</v>
      </c>
      <c r="D162" s="5">
        <f t="shared" si="14"/>
        <v>62246</v>
      </c>
      <c r="E162" s="6">
        <f t="shared" si="15"/>
        <v>773</v>
      </c>
      <c r="F162" s="2">
        <f t="shared" si="16"/>
        <v>7039.3500000000058</v>
      </c>
      <c r="G162" s="20">
        <f t="shared" si="17"/>
        <v>5532.57</v>
      </c>
    </row>
    <row r="163" spans="1:7" x14ac:dyDescent="0.3">
      <c r="A163" s="1">
        <v>159</v>
      </c>
      <c r="B163" s="4">
        <f t="shared" si="12"/>
        <v>9.0000000006243752E-2</v>
      </c>
      <c r="C163" s="4">
        <f t="shared" si="13"/>
        <v>574244.03000000049</v>
      </c>
      <c r="D163" s="5">
        <f t="shared" si="14"/>
        <v>63027</v>
      </c>
      <c r="E163" s="6">
        <f t="shared" si="15"/>
        <v>781</v>
      </c>
      <c r="F163" s="2">
        <f t="shared" si="16"/>
        <v>7107.190000000006</v>
      </c>
      <c r="G163" s="20">
        <f t="shared" si="17"/>
        <v>5602.1399999999994</v>
      </c>
    </row>
    <row r="164" spans="1:7" x14ac:dyDescent="0.3">
      <c r="A164" s="1">
        <v>160</v>
      </c>
      <c r="B164" s="4">
        <f t="shared" si="12"/>
        <v>1.7200000000061735</v>
      </c>
      <c r="C164" s="4">
        <f t="shared" si="13"/>
        <v>581416.55000000051</v>
      </c>
      <c r="D164" s="5">
        <f t="shared" si="14"/>
        <v>63815</v>
      </c>
      <c r="E164" s="6">
        <f t="shared" si="15"/>
        <v>788</v>
      </c>
      <c r="F164" s="2">
        <f t="shared" si="16"/>
        <v>7172.5200000000059</v>
      </c>
      <c r="G164" s="20">
        <f t="shared" si="17"/>
        <v>5672.4299999999994</v>
      </c>
    </row>
    <row r="165" spans="1:7" x14ac:dyDescent="0.3">
      <c r="A165" s="1">
        <v>161</v>
      </c>
      <c r="B165" s="4">
        <f t="shared" si="12"/>
        <v>1.4700000000054487</v>
      </c>
      <c r="C165" s="4">
        <f t="shared" si="13"/>
        <v>588661.62000000046</v>
      </c>
      <c r="D165" s="5">
        <f t="shared" si="14"/>
        <v>64611</v>
      </c>
      <c r="E165" s="6">
        <f t="shared" si="15"/>
        <v>796</v>
      </c>
      <c r="F165" s="2">
        <f t="shared" si="16"/>
        <v>7245.0700000000052</v>
      </c>
      <c r="G165" s="20">
        <f t="shared" si="17"/>
        <v>5743.3499999999995</v>
      </c>
    </row>
    <row r="166" spans="1:7" x14ac:dyDescent="0.3">
      <c r="A166" s="1">
        <v>162</v>
      </c>
      <c r="B166" s="4">
        <f t="shared" si="12"/>
        <v>6.0000000005778986E-2</v>
      </c>
      <c r="C166" s="4">
        <f t="shared" si="13"/>
        <v>595978.08000000042</v>
      </c>
      <c r="D166" s="5">
        <f t="shared" si="14"/>
        <v>65415</v>
      </c>
      <c r="E166" s="6">
        <f t="shared" si="15"/>
        <v>804</v>
      </c>
      <c r="F166" s="2">
        <f t="shared" si="16"/>
        <v>7316.4600000000055</v>
      </c>
      <c r="G166" s="20">
        <f t="shared" si="17"/>
        <v>5814.99</v>
      </c>
    </row>
    <row r="167" spans="1:7" x14ac:dyDescent="0.3">
      <c r="A167" s="1">
        <v>163</v>
      </c>
      <c r="B167" s="4">
        <f t="shared" si="12"/>
        <v>7.3100000000055996</v>
      </c>
      <c r="C167" s="4">
        <f t="shared" si="13"/>
        <v>603365.49000000046</v>
      </c>
      <c r="D167" s="5">
        <f t="shared" si="14"/>
        <v>66226</v>
      </c>
      <c r="E167" s="6">
        <f t="shared" si="15"/>
        <v>811</v>
      </c>
      <c r="F167" s="2">
        <f t="shared" si="16"/>
        <v>7387.4100000000053</v>
      </c>
      <c r="G167" s="20">
        <f t="shared" si="17"/>
        <v>5887.3499999999995</v>
      </c>
    </row>
    <row r="168" spans="1:7" x14ac:dyDescent="0.3">
      <c r="A168" s="1">
        <v>164</v>
      </c>
      <c r="B168" s="4">
        <f t="shared" si="12"/>
        <v>5.650000000006294</v>
      </c>
      <c r="C168" s="4">
        <f t="shared" si="13"/>
        <v>610833.14000000048</v>
      </c>
      <c r="D168" s="5">
        <f t="shared" si="14"/>
        <v>67046</v>
      </c>
      <c r="E168" s="6">
        <f t="shared" si="15"/>
        <v>820</v>
      </c>
      <c r="F168" s="2">
        <f t="shared" si="16"/>
        <v>7467.650000000006</v>
      </c>
      <c r="G168" s="20">
        <f t="shared" si="17"/>
        <v>5960.34</v>
      </c>
    </row>
    <row r="169" spans="1:7" x14ac:dyDescent="0.3">
      <c r="A169" s="1">
        <v>165</v>
      </c>
      <c r="B169" s="4">
        <f t="shared" si="12"/>
        <v>4.9900000000057148</v>
      </c>
      <c r="C169" s="4">
        <f t="shared" si="13"/>
        <v>618372.93000000052</v>
      </c>
      <c r="D169" s="5">
        <f t="shared" si="14"/>
        <v>67874</v>
      </c>
      <c r="E169" s="6">
        <f t="shared" si="15"/>
        <v>828</v>
      </c>
      <c r="F169" s="2">
        <f t="shared" si="16"/>
        <v>7539.7900000000054</v>
      </c>
      <c r="G169" s="20">
        <f t="shared" si="17"/>
        <v>6034.1399999999994</v>
      </c>
    </row>
    <row r="170" spans="1:7" x14ac:dyDescent="0.3">
      <c r="A170" s="1">
        <v>166</v>
      </c>
      <c r="B170" s="4">
        <f t="shared" si="12"/>
        <v>6.0500000000053902</v>
      </c>
      <c r="C170" s="4">
        <f t="shared" si="13"/>
        <v>625986.58000000054</v>
      </c>
      <c r="D170" s="5">
        <f t="shared" si="14"/>
        <v>68710</v>
      </c>
      <c r="E170" s="6">
        <f t="shared" si="15"/>
        <v>836</v>
      </c>
      <c r="F170" s="2">
        <f t="shared" si="16"/>
        <v>7613.6500000000051</v>
      </c>
      <c r="G170" s="20">
        <f t="shared" si="17"/>
        <v>6108.66</v>
      </c>
    </row>
    <row r="171" spans="1:7" x14ac:dyDescent="0.3">
      <c r="A171" s="1">
        <v>167</v>
      </c>
      <c r="B171" s="4">
        <f t="shared" si="12"/>
        <v>0.45000000000557527</v>
      </c>
      <c r="C171" s="4">
        <f t="shared" si="13"/>
        <v>633676.53000000049</v>
      </c>
      <c r="D171" s="5">
        <f t="shared" si="14"/>
        <v>69555</v>
      </c>
      <c r="E171" s="6">
        <f t="shared" si="15"/>
        <v>845</v>
      </c>
      <c r="F171" s="2">
        <f t="shared" si="16"/>
        <v>7689.9500000000053</v>
      </c>
      <c r="G171" s="20">
        <f t="shared" si="17"/>
        <v>6183.9</v>
      </c>
    </row>
    <row r="172" spans="1:7" x14ac:dyDescent="0.3">
      <c r="A172" s="1">
        <v>168</v>
      </c>
      <c r="B172" s="4">
        <f t="shared" si="12"/>
        <v>7.2000000000053959</v>
      </c>
      <c r="C172" s="4">
        <f t="shared" si="13"/>
        <v>641436.93000000052</v>
      </c>
      <c r="D172" s="5">
        <f t="shared" si="14"/>
        <v>70407</v>
      </c>
      <c r="E172" s="6">
        <f t="shared" si="15"/>
        <v>852</v>
      </c>
      <c r="F172" s="2">
        <f t="shared" si="16"/>
        <v>7760.4000000000051</v>
      </c>
      <c r="G172" s="20">
        <f t="shared" si="17"/>
        <v>6259.95</v>
      </c>
    </row>
    <row r="173" spans="1:7" x14ac:dyDescent="0.3">
      <c r="A173" s="1">
        <v>169</v>
      </c>
      <c r="B173" s="4">
        <f t="shared" si="12"/>
        <v>8.7300000000056901</v>
      </c>
      <c r="C173" s="4">
        <f t="shared" si="13"/>
        <v>649280.76000000047</v>
      </c>
      <c r="D173" s="5">
        <f t="shared" si="14"/>
        <v>71268</v>
      </c>
      <c r="E173" s="6">
        <f t="shared" si="15"/>
        <v>861</v>
      </c>
      <c r="F173" s="2">
        <f t="shared" si="16"/>
        <v>7843.8300000000054</v>
      </c>
      <c r="G173" s="20">
        <f t="shared" si="17"/>
        <v>6336.63</v>
      </c>
    </row>
    <row r="174" spans="1:7" x14ac:dyDescent="0.3">
      <c r="A174" s="1">
        <v>170</v>
      </c>
      <c r="B174" s="4">
        <f t="shared" si="12"/>
        <v>5.8500000000061299</v>
      </c>
      <c r="C174" s="4">
        <f t="shared" si="13"/>
        <v>657203.61000000045</v>
      </c>
      <c r="D174" s="5">
        <f t="shared" si="14"/>
        <v>72138</v>
      </c>
      <c r="E174" s="6">
        <f t="shared" si="15"/>
        <v>870</v>
      </c>
      <c r="F174" s="2">
        <f t="shared" si="16"/>
        <v>7922.8500000000058</v>
      </c>
      <c r="G174" s="20">
        <f t="shared" si="17"/>
        <v>6414.12</v>
      </c>
    </row>
    <row r="175" spans="1:7" x14ac:dyDescent="0.3">
      <c r="A175" s="1">
        <v>171</v>
      </c>
      <c r="B175" s="4">
        <f t="shared" si="12"/>
        <v>8.4700000000062055</v>
      </c>
      <c r="C175" s="4">
        <f t="shared" si="13"/>
        <v>665201.88000000047</v>
      </c>
      <c r="D175" s="5">
        <f t="shared" si="14"/>
        <v>73016</v>
      </c>
      <c r="E175" s="6">
        <f t="shared" si="15"/>
        <v>878</v>
      </c>
      <c r="F175" s="2">
        <f t="shared" si="16"/>
        <v>7998.2700000000059</v>
      </c>
      <c r="G175" s="20">
        <f t="shared" si="17"/>
        <v>6492.42</v>
      </c>
    </row>
    <row r="176" spans="1:7" x14ac:dyDescent="0.3">
      <c r="A176" s="1">
        <v>172</v>
      </c>
      <c r="B176" s="4">
        <f t="shared" si="12"/>
        <v>8.2100000000056266</v>
      </c>
      <c r="C176" s="4">
        <f t="shared" si="13"/>
        <v>673281.7900000005</v>
      </c>
      <c r="D176" s="5">
        <f t="shared" si="14"/>
        <v>73903</v>
      </c>
      <c r="E176" s="6">
        <f t="shared" si="15"/>
        <v>887</v>
      </c>
      <c r="F176" s="2">
        <f t="shared" si="16"/>
        <v>8079.9100000000053</v>
      </c>
      <c r="G176" s="20">
        <f t="shared" si="17"/>
        <v>6571.44</v>
      </c>
    </row>
    <row r="177" spans="1:7" x14ac:dyDescent="0.3">
      <c r="A177" s="1">
        <v>173</v>
      </c>
      <c r="B177" s="4">
        <f t="shared" si="12"/>
        <v>5.8800000000053387</v>
      </c>
      <c r="C177" s="4">
        <f t="shared" si="13"/>
        <v>681441.27000000048</v>
      </c>
      <c r="D177" s="5">
        <f t="shared" si="14"/>
        <v>74799</v>
      </c>
      <c r="E177" s="6">
        <f t="shared" si="15"/>
        <v>896</v>
      </c>
      <c r="F177" s="2">
        <f t="shared" si="16"/>
        <v>8159.480000000005</v>
      </c>
      <c r="G177" s="20">
        <f t="shared" si="17"/>
        <v>6651.2699999999995</v>
      </c>
    </row>
    <row r="178" spans="1:7" x14ac:dyDescent="0.3">
      <c r="A178" s="1">
        <v>174</v>
      </c>
      <c r="B178" s="4">
        <f t="shared" si="12"/>
        <v>2.2900000000048326</v>
      </c>
      <c r="C178" s="4">
        <f t="shared" si="13"/>
        <v>689679.06000000052</v>
      </c>
      <c r="D178" s="5">
        <f t="shared" si="14"/>
        <v>75704</v>
      </c>
      <c r="E178" s="6">
        <f t="shared" si="15"/>
        <v>905</v>
      </c>
      <c r="F178" s="2">
        <f t="shared" si="16"/>
        <v>8237.7900000000045</v>
      </c>
      <c r="G178" s="20">
        <f t="shared" si="17"/>
        <v>6731.91</v>
      </c>
    </row>
    <row r="179" spans="1:7" x14ac:dyDescent="0.3">
      <c r="A179" s="1">
        <v>175</v>
      </c>
      <c r="B179" s="4">
        <f t="shared" si="12"/>
        <v>7.3500000000054175</v>
      </c>
      <c r="C179" s="4">
        <f t="shared" si="13"/>
        <v>697994.71000000054</v>
      </c>
      <c r="D179" s="5">
        <f t="shared" si="14"/>
        <v>76617</v>
      </c>
      <c r="E179" s="6">
        <f t="shared" si="15"/>
        <v>913</v>
      </c>
      <c r="F179" s="2">
        <f t="shared" si="16"/>
        <v>8315.6500000000051</v>
      </c>
      <c r="G179" s="20">
        <f t="shared" si="17"/>
        <v>6813.36</v>
      </c>
    </row>
    <row r="180" spans="1:7" x14ac:dyDescent="0.3">
      <c r="A180" s="1">
        <v>176</v>
      </c>
      <c r="B180" s="4">
        <f t="shared" si="12"/>
        <v>3.5800000000049845</v>
      </c>
      <c r="C180" s="4">
        <f t="shared" si="13"/>
        <v>706397.59000000055</v>
      </c>
      <c r="D180" s="5">
        <f t="shared" si="14"/>
        <v>77540</v>
      </c>
      <c r="E180" s="6">
        <f t="shared" si="15"/>
        <v>923</v>
      </c>
      <c r="F180" s="2">
        <f t="shared" si="16"/>
        <v>8402.8800000000047</v>
      </c>
      <c r="G180" s="20">
        <f t="shared" si="17"/>
        <v>6895.53</v>
      </c>
    </row>
    <row r="181" spans="1:7" x14ac:dyDescent="0.3">
      <c r="A181" s="1">
        <v>177</v>
      </c>
      <c r="B181" s="4">
        <f t="shared" si="12"/>
        <v>0.98000000000426013</v>
      </c>
      <c r="C181" s="4">
        <f t="shared" si="13"/>
        <v>714879.7700000006</v>
      </c>
      <c r="D181" s="5">
        <f t="shared" si="14"/>
        <v>78472</v>
      </c>
      <c r="E181" s="6">
        <f t="shared" si="15"/>
        <v>932</v>
      </c>
      <c r="F181" s="2">
        <f t="shared" si="16"/>
        <v>8482.1800000000039</v>
      </c>
      <c r="G181" s="20">
        <f t="shared" si="17"/>
        <v>6978.5999999999995</v>
      </c>
    </row>
    <row r="182" spans="1:7" x14ac:dyDescent="0.3">
      <c r="A182" s="1">
        <v>178</v>
      </c>
      <c r="B182" s="4">
        <f t="shared" si="12"/>
        <v>0.36000000000491816</v>
      </c>
      <c r="C182" s="4">
        <f t="shared" si="13"/>
        <v>723443.23000000056</v>
      </c>
      <c r="D182" s="5">
        <f t="shared" si="14"/>
        <v>79413</v>
      </c>
      <c r="E182" s="6">
        <f t="shared" si="15"/>
        <v>941</v>
      </c>
      <c r="F182" s="2">
        <f t="shared" si="16"/>
        <v>8563.4600000000046</v>
      </c>
      <c r="G182" s="20">
        <f t="shared" si="17"/>
        <v>7062.48</v>
      </c>
    </row>
    <row r="183" spans="1:7" x14ac:dyDescent="0.3">
      <c r="A183" s="1">
        <v>179</v>
      </c>
      <c r="B183" s="4">
        <f t="shared" si="12"/>
        <v>2.5300000000046303</v>
      </c>
      <c r="C183" s="4">
        <f t="shared" si="13"/>
        <v>732090.76000000059</v>
      </c>
      <c r="D183" s="5">
        <f t="shared" si="14"/>
        <v>80363</v>
      </c>
      <c r="E183" s="6">
        <f t="shared" si="15"/>
        <v>950</v>
      </c>
      <c r="F183" s="2">
        <f t="shared" si="16"/>
        <v>8647.5300000000043</v>
      </c>
      <c r="G183" s="20">
        <f t="shared" si="17"/>
        <v>7147.17</v>
      </c>
    </row>
    <row r="184" spans="1:7" x14ac:dyDescent="0.3">
      <c r="A184" s="1">
        <v>180</v>
      </c>
      <c r="B184" s="4">
        <f t="shared" si="12"/>
        <v>8.3000000000047063</v>
      </c>
      <c r="C184" s="4">
        <f t="shared" si="13"/>
        <v>740825.96000000054</v>
      </c>
      <c r="D184" s="5">
        <f t="shared" si="14"/>
        <v>81322</v>
      </c>
      <c r="E184" s="6">
        <f t="shared" si="15"/>
        <v>959</v>
      </c>
      <c r="F184" s="2">
        <f t="shared" si="16"/>
        <v>8735.2000000000044</v>
      </c>
      <c r="G184" s="20">
        <f t="shared" si="17"/>
        <v>7232.67</v>
      </c>
    </row>
    <row r="185" spans="1:7" x14ac:dyDescent="0.3">
      <c r="A185" s="1">
        <v>181</v>
      </c>
      <c r="B185" s="4">
        <f t="shared" si="12"/>
        <v>0.28000000000463743</v>
      </c>
      <c r="C185" s="4">
        <f t="shared" si="13"/>
        <v>749653.24000000057</v>
      </c>
      <c r="D185" s="5">
        <f t="shared" si="14"/>
        <v>82292</v>
      </c>
      <c r="E185" s="6">
        <f t="shared" si="15"/>
        <v>970</v>
      </c>
      <c r="F185" s="2">
        <f t="shared" si="16"/>
        <v>8827.2800000000043</v>
      </c>
      <c r="G185" s="20">
        <f t="shared" si="17"/>
        <v>7318.98</v>
      </c>
    </row>
    <row r="186" spans="1:7" x14ac:dyDescent="0.3">
      <c r="A186" s="1">
        <v>182</v>
      </c>
      <c r="B186" s="4">
        <f t="shared" si="12"/>
        <v>6.7600000000052951</v>
      </c>
      <c r="C186" s="4">
        <f t="shared" si="13"/>
        <v>758559.80000000063</v>
      </c>
      <c r="D186" s="5">
        <f t="shared" si="14"/>
        <v>83270</v>
      </c>
      <c r="E186" s="6">
        <f t="shared" si="15"/>
        <v>978</v>
      </c>
      <c r="F186" s="2">
        <f t="shared" si="16"/>
        <v>8906.5600000000049</v>
      </c>
      <c r="G186" s="20">
        <f t="shared" si="17"/>
        <v>7406.28</v>
      </c>
    </row>
    <row r="187" spans="1:7" x14ac:dyDescent="0.3">
      <c r="A187" s="1">
        <v>183</v>
      </c>
      <c r="B187" s="4">
        <f t="shared" si="12"/>
        <v>1.160000000005299</v>
      </c>
      <c r="C187" s="4">
        <f t="shared" si="13"/>
        <v>767560.86000000068</v>
      </c>
      <c r="D187" s="5">
        <f t="shared" si="14"/>
        <v>84259</v>
      </c>
      <c r="E187" s="6">
        <f t="shared" si="15"/>
        <v>989</v>
      </c>
      <c r="F187" s="2">
        <f t="shared" si="16"/>
        <v>9001.0600000000049</v>
      </c>
      <c r="G187" s="20">
        <f t="shared" si="17"/>
        <v>7494.2999999999993</v>
      </c>
    </row>
    <row r="188" spans="1:7" x14ac:dyDescent="0.3">
      <c r="A188" s="1">
        <v>184</v>
      </c>
      <c r="B188" s="4">
        <f t="shared" si="12"/>
        <v>2.6700000000051567</v>
      </c>
      <c r="C188" s="4">
        <f t="shared" si="13"/>
        <v>776645.33000000066</v>
      </c>
      <c r="D188" s="5">
        <f t="shared" si="14"/>
        <v>85257</v>
      </c>
      <c r="E188" s="6">
        <f t="shared" si="15"/>
        <v>998</v>
      </c>
      <c r="F188" s="2">
        <f t="shared" si="16"/>
        <v>9084.4700000000048</v>
      </c>
      <c r="G188" s="20">
        <f t="shared" si="17"/>
        <v>7583.3099999999995</v>
      </c>
    </row>
    <row r="189" spans="1:7" x14ac:dyDescent="0.3">
      <c r="A189" s="1">
        <v>185</v>
      </c>
      <c r="B189" s="4">
        <f t="shared" ref="B189:B252" si="18">MOD(F189,$H$5)</f>
        <v>3.0000000000050875</v>
      </c>
      <c r="C189" s="4">
        <f t="shared" ref="C189:C252" si="19">C188+F189</f>
        <v>785821.1300000007</v>
      </c>
      <c r="D189" s="5">
        <f t="shared" ref="D189:D252" si="20">ROUNDDOWN(D188+E189,0)</f>
        <v>86265</v>
      </c>
      <c r="E189" s="6">
        <f t="shared" ref="E189:E252" si="21">ROUNDDOWN(F189/$H$5,0)</f>
        <v>1008</v>
      </c>
      <c r="F189" s="2">
        <f t="shared" ref="F189:F252" si="22">$F$5+B188+G189</f>
        <v>9175.8000000000047</v>
      </c>
      <c r="G189" s="20">
        <f t="shared" ref="G189:G252" si="23">D188*$I$5</f>
        <v>7673.13</v>
      </c>
    </row>
    <row r="190" spans="1:7" x14ac:dyDescent="0.3">
      <c r="A190" s="1">
        <v>186</v>
      </c>
      <c r="B190" s="4">
        <f t="shared" si="18"/>
        <v>3.0500000000043634</v>
      </c>
      <c r="C190" s="4">
        <f t="shared" si="19"/>
        <v>795087.98000000068</v>
      </c>
      <c r="D190" s="5">
        <f t="shared" si="20"/>
        <v>87283</v>
      </c>
      <c r="E190" s="6">
        <f t="shared" si="21"/>
        <v>1018</v>
      </c>
      <c r="F190" s="2">
        <f t="shared" si="22"/>
        <v>9266.850000000004</v>
      </c>
      <c r="G190" s="20">
        <f t="shared" si="23"/>
        <v>7763.8499999999995</v>
      </c>
    </row>
    <row r="191" spans="1:7" x14ac:dyDescent="0.3">
      <c r="A191" s="1">
        <v>187</v>
      </c>
      <c r="B191" s="4">
        <f t="shared" si="18"/>
        <v>3.7200000000044398</v>
      </c>
      <c r="C191" s="4">
        <f t="shared" si="19"/>
        <v>804446.5000000007</v>
      </c>
      <c r="D191" s="5">
        <f t="shared" si="20"/>
        <v>88311</v>
      </c>
      <c r="E191" s="6">
        <f t="shared" si="21"/>
        <v>1028</v>
      </c>
      <c r="F191" s="2">
        <f t="shared" si="22"/>
        <v>9358.5200000000041</v>
      </c>
      <c r="G191" s="20">
        <f t="shared" si="23"/>
        <v>7855.4699999999993</v>
      </c>
    </row>
    <row r="192" spans="1:7" x14ac:dyDescent="0.3">
      <c r="A192" s="1">
        <v>188</v>
      </c>
      <c r="B192" s="4">
        <f t="shared" si="18"/>
        <v>5.9100000000049526</v>
      </c>
      <c r="C192" s="4">
        <f t="shared" si="19"/>
        <v>813898.21000000066</v>
      </c>
      <c r="D192" s="5">
        <f t="shared" si="20"/>
        <v>89349</v>
      </c>
      <c r="E192" s="6">
        <f t="shared" si="21"/>
        <v>1038</v>
      </c>
      <c r="F192" s="2">
        <f t="shared" si="22"/>
        <v>9451.7100000000046</v>
      </c>
      <c r="G192" s="20">
        <f t="shared" si="23"/>
        <v>7947.99</v>
      </c>
    </row>
    <row r="193" spans="1:7" x14ac:dyDescent="0.3">
      <c r="A193" s="1">
        <v>189</v>
      </c>
      <c r="B193" s="4">
        <f t="shared" si="18"/>
        <v>1.4200000000055386</v>
      </c>
      <c r="C193" s="4">
        <f t="shared" si="19"/>
        <v>823445.53000000061</v>
      </c>
      <c r="D193" s="5">
        <f t="shared" si="20"/>
        <v>90398</v>
      </c>
      <c r="E193" s="6">
        <f t="shared" si="21"/>
        <v>1049</v>
      </c>
      <c r="F193" s="2">
        <f t="shared" si="22"/>
        <v>9547.3200000000052</v>
      </c>
      <c r="G193" s="20">
        <f t="shared" si="23"/>
        <v>8041.41</v>
      </c>
    </row>
    <row r="194" spans="1:7" x14ac:dyDescent="0.3">
      <c r="A194" s="1">
        <v>190</v>
      </c>
      <c r="B194" s="4">
        <f t="shared" si="18"/>
        <v>0.34000000000561492</v>
      </c>
      <c r="C194" s="4">
        <f t="shared" si="19"/>
        <v>833082.7700000006</v>
      </c>
      <c r="D194" s="5">
        <f t="shared" si="20"/>
        <v>91457</v>
      </c>
      <c r="E194" s="6">
        <f t="shared" si="21"/>
        <v>1059</v>
      </c>
      <c r="F194" s="2">
        <f t="shared" si="22"/>
        <v>9637.2400000000052</v>
      </c>
      <c r="G194" s="20">
        <f t="shared" si="23"/>
        <v>8135.82</v>
      </c>
    </row>
    <row r="195" spans="1:7" x14ac:dyDescent="0.3">
      <c r="A195" s="1">
        <v>191</v>
      </c>
      <c r="B195" s="4">
        <f t="shared" si="18"/>
        <v>3.5700000000051819</v>
      </c>
      <c r="C195" s="4">
        <f t="shared" si="19"/>
        <v>842814.24000000057</v>
      </c>
      <c r="D195" s="5">
        <f t="shared" si="20"/>
        <v>92526</v>
      </c>
      <c r="E195" s="6">
        <f t="shared" si="21"/>
        <v>1069</v>
      </c>
      <c r="F195" s="2">
        <f t="shared" si="22"/>
        <v>9731.4700000000048</v>
      </c>
      <c r="G195" s="20">
        <f t="shared" si="23"/>
        <v>8231.1299999999992</v>
      </c>
    </row>
    <row r="196" spans="1:7" x14ac:dyDescent="0.3">
      <c r="A196" s="1">
        <v>192</v>
      </c>
      <c r="B196" s="4">
        <f t="shared" si="18"/>
        <v>2.9100000000056951</v>
      </c>
      <c r="C196" s="4">
        <f t="shared" si="19"/>
        <v>852645.15000000061</v>
      </c>
      <c r="D196" s="5">
        <f t="shared" si="20"/>
        <v>93606</v>
      </c>
      <c r="E196" s="6">
        <f t="shared" si="21"/>
        <v>1080</v>
      </c>
      <c r="F196" s="2">
        <f t="shared" si="22"/>
        <v>9830.9100000000053</v>
      </c>
      <c r="G196" s="20">
        <f t="shared" si="23"/>
        <v>8327.34</v>
      </c>
    </row>
    <row r="197" spans="1:7" x14ac:dyDescent="0.3">
      <c r="A197" s="1">
        <v>193</v>
      </c>
      <c r="B197" s="4">
        <f t="shared" si="18"/>
        <v>8.4500000000047528</v>
      </c>
      <c r="C197" s="4">
        <f t="shared" si="19"/>
        <v>862572.60000000056</v>
      </c>
      <c r="D197" s="5">
        <f t="shared" si="20"/>
        <v>94696</v>
      </c>
      <c r="E197" s="6">
        <f t="shared" si="21"/>
        <v>1090</v>
      </c>
      <c r="F197" s="2">
        <f t="shared" si="22"/>
        <v>9927.4500000000044</v>
      </c>
      <c r="G197" s="20">
        <f t="shared" si="23"/>
        <v>8424.5399999999991</v>
      </c>
    </row>
    <row r="198" spans="1:7" x14ac:dyDescent="0.3">
      <c r="A198" s="1">
        <v>194</v>
      </c>
      <c r="B198" s="4">
        <f t="shared" si="18"/>
        <v>2.890000000004175</v>
      </c>
      <c r="C198" s="4">
        <f t="shared" si="19"/>
        <v>872603.69000000053</v>
      </c>
      <c r="D198" s="5">
        <f t="shared" si="20"/>
        <v>95798</v>
      </c>
      <c r="E198" s="6">
        <f t="shared" si="21"/>
        <v>1102</v>
      </c>
      <c r="F198" s="2">
        <f t="shared" si="22"/>
        <v>10031.090000000004</v>
      </c>
      <c r="G198" s="20">
        <f t="shared" si="23"/>
        <v>8522.64</v>
      </c>
    </row>
    <row r="199" spans="1:7" x14ac:dyDescent="0.3">
      <c r="A199" s="1">
        <v>195</v>
      </c>
      <c r="B199" s="4">
        <f t="shared" si="18"/>
        <v>5.5100000000049789</v>
      </c>
      <c r="C199" s="4">
        <f t="shared" si="19"/>
        <v>882728.40000000049</v>
      </c>
      <c r="D199" s="5">
        <f t="shared" si="20"/>
        <v>96910</v>
      </c>
      <c r="E199" s="6">
        <f t="shared" si="21"/>
        <v>1112</v>
      </c>
      <c r="F199" s="2">
        <f t="shared" si="22"/>
        <v>10124.710000000005</v>
      </c>
      <c r="G199" s="20">
        <f t="shared" si="23"/>
        <v>8621.82</v>
      </c>
    </row>
    <row r="200" spans="1:7" x14ac:dyDescent="0.3">
      <c r="A200" s="1">
        <v>196</v>
      </c>
      <c r="B200" s="4">
        <f t="shared" si="18"/>
        <v>8.1100000000057104</v>
      </c>
      <c r="C200" s="4">
        <f t="shared" si="19"/>
        <v>892955.81000000052</v>
      </c>
      <c r="D200" s="5">
        <f t="shared" si="20"/>
        <v>98033</v>
      </c>
      <c r="E200" s="6">
        <f t="shared" si="21"/>
        <v>1123</v>
      </c>
      <c r="F200" s="2">
        <f t="shared" si="22"/>
        <v>10227.410000000005</v>
      </c>
      <c r="G200" s="20">
        <f t="shared" si="23"/>
        <v>8721.9</v>
      </c>
    </row>
    <row r="201" spans="1:7" x14ac:dyDescent="0.3">
      <c r="A201" s="1">
        <v>197</v>
      </c>
      <c r="B201" s="4">
        <f t="shared" si="18"/>
        <v>2.5800000000057874</v>
      </c>
      <c r="C201" s="4">
        <f t="shared" si="19"/>
        <v>903286.89000000048</v>
      </c>
      <c r="D201" s="5">
        <f t="shared" si="20"/>
        <v>99168</v>
      </c>
      <c r="E201" s="6">
        <f t="shared" si="21"/>
        <v>1135</v>
      </c>
      <c r="F201" s="2">
        <f t="shared" si="22"/>
        <v>10331.080000000005</v>
      </c>
      <c r="G201" s="20">
        <f t="shared" si="23"/>
        <v>8822.9699999999993</v>
      </c>
    </row>
    <row r="202" spans="1:7" x14ac:dyDescent="0.3">
      <c r="A202" s="1">
        <v>198</v>
      </c>
      <c r="B202" s="4">
        <f t="shared" si="18"/>
        <v>8.2000000000047724</v>
      </c>
      <c r="C202" s="4">
        <f t="shared" si="19"/>
        <v>913714.59000000043</v>
      </c>
      <c r="D202" s="5">
        <f t="shared" si="20"/>
        <v>100313</v>
      </c>
      <c r="E202" s="6">
        <f t="shared" si="21"/>
        <v>1145</v>
      </c>
      <c r="F202" s="2">
        <f t="shared" si="22"/>
        <v>10427.700000000004</v>
      </c>
      <c r="G202" s="20">
        <f t="shared" si="23"/>
        <v>8925.119999999999</v>
      </c>
    </row>
    <row r="203" spans="1:7" x14ac:dyDescent="0.3">
      <c r="A203" s="1">
        <v>199</v>
      </c>
      <c r="B203" s="4">
        <f t="shared" si="18"/>
        <v>7.6700000000048494</v>
      </c>
      <c r="C203" s="4">
        <f t="shared" si="19"/>
        <v>924250.96000000043</v>
      </c>
      <c r="D203" s="5">
        <f t="shared" si="20"/>
        <v>101470</v>
      </c>
      <c r="E203" s="6">
        <f t="shared" si="21"/>
        <v>1157</v>
      </c>
      <c r="F203" s="2">
        <f t="shared" si="22"/>
        <v>10536.370000000004</v>
      </c>
      <c r="G203" s="20">
        <f t="shared" si="23"/>
        <v>9028.17</v>
      </c>
    </row>
    <row r="204" spans="1:7" x14ac:dyDescent="0.3">
      <c r="A204" s="1">
        <v>200</v>
      </c>
      <c r="B204" s="4">
        <f t="shared" si="18"/>
        <v>2.0700000000052174</v>
      </c>
      <c r="C204" s="4">
        <f t="shared" si="19"/>
        <v>934890.9300000004</v>
      </c>
      <c r="D204" s="5">
        <f t="shared" si="20"/>
        <v>102639</v>
      </c>
      <c r="E204" s="6">
        <f t="shared" si="21"/>
        <v>1169</v>
      </c>
      <c r="F204" s="2">
        <f t="shared" si="22"/>
        <v>10639.970000000005</v>
      </c>
      <c r="G204" s="20">
        <f t="shared" si="23"/>
        <v>9132.2999999999993</v>
      </c>
    </row>
    <row r="205" spans="1:7" x14ac:dyDescent="0.3">
      <c r="A205" s="1">
        <v>201</v>
      </c>
      <c r="B205" s="4">
        <f t="shared" si="18"/>
        <v>1.5800000000058034</v>
      </c>
      <c r="C205" s="4">
        <f t="shared" si="19"/>
        <v>945630.51000000036</v>
      </c>
      <c r="D205" s="5">
        <f t="shared" si="20"/>
        <v>103819</v>
      </c>
      <c r="E205" s="6">
        <f t="shared" si="21"/>
        <v>1180</v>
      </c>
      <c r="F205" s="2">
        <f t="shared" si="22"/>
        <v>10739.580000000005</v>
      </c>
      <c r="G205" s="20">
        <f t="shared" si="23"/>
        <v>9237.51</v>
      </c>
    </row>
    <row r="206" spans="1:7" x14ac:dyDescent="0.3">
      <c r="A206" s="1">
        <v>202</v>
      </c>
      <c r="B206" s="4">
        <f t="shared" si="18"/>
        <v>7.1900000000049342</v>
      </c>
      <c r="C206" s="4">
        <f t="shared" si="19"/>
        <v>956475.8000000004</v>
      </c>
      <c r="D206" s="5">
        <f t="shared" si="20"/>
        <v>105010</v>
      </c>
      <c r="E206" s="6">
        <f t="shared" si="21"/>
        <v>1191</v>
      </c>
      <c r="F206" s="2">
        <f t="shared" si="22"/>
        <v>10845.290000000005</v>
      </c>
      <c r="G206" s="20">
        <f t="shared" si="23"/>
        <v>9343.7099999999991</v>
      </c>
    </row>
    <row r="207" spans="1:7" x14ac:dyDescent="0.3">
      <c r="A207" s="1">
        <v>203</v>
      </c>
      <c r="B207" s="4">
        <f t="shared" si="18"/>
        <v>1.6900000000042112</v>
      </c>
      <c r="C207" s="4">
        <f t="shared" si="19"/>
        <v>967433.89000000036</v>
      </c>
      <c r="D207" s="5">
        <f t="shared" si="20"/>
        <v>106214</v>
      </c>
      <c r="E207" s="6">
        <f t="shared" si="21"/>
        <v>1204</v>
      </c>
      <c r="F207" s="2">
        <f t="shared" si="22"/>
        <v>10958.090000000004</v>
      </c>
      <c r="G207" s="20">
        <f t="shared" si="23"/>
        <v>9450.9</v>
      </c>
    </row>
    <row r="208" spans="1:7" x14ac:dyDescent="0.3">
      <c r="A208" s="1">
        <v>204</v>
      </c>
      <c r="B208" s="4">
        <f t="shared" si="18"/>
        <v>4.4500000000047972</v>
      </c>
      <c r="C208" s="4">
        <f t="shared" si="19"/>
        <v>978494.84000000032</v>
      </c>
      <c r="D208" s="5">
        <f t="shared" si="20"/>
        <v>107429</v>
      </c>
      <c r="E208" s="6">
        <f t="shared" si="21"/>
        <v>1215</v>
      </c>
      <c r="F208" s="2">
        <f t="shared" si="22"/>
        <v>11060.950000000004</v>
      </c>
      <c r="G208" s="20">
        <f t="shared" si="23"/>
        <v>9559.26</v>
      </c>
    </row>
    <row r="209" spans="1:7" x14ac:dyDescent="0.3">
      <c r="A209" s="1">
        <v>205</v>
      </c>
      <c r="B209" s="4">
        <f t="shared" si="18"/>
        <v>7.3600000000035646</v>
      </c>
      <c r="C209" s="4">
        <f t="shared" si="19"/>
        <v>989667.90000000037</v>
      </c>
      <c r="D209" s="5">
        <f t="shared" si="20"/>
        <v>108656</v>
      </c>
      <c r="E209" s="6">
        <f t="shared" si="21"/>
        <v>1227</v>
      </c>
      <c r="F209" s="2">
        <f t="shared" si="22"/>
        <v>11173.060000000003</v>
      </c>
      <c r="G209" s="20">
        <f t="shared" si="23"/>
        <v>9668.6099999999988</v>
      </c>
    </row>
    <row r="210" spans="1:7" x14ac:dyDescent="0.3">
      <c r="A210" s="1">
        <v>206</v>
      </c>
      <c r="B210" s="4">
        <f t="shared" si="18"/>
        <v>2.4000000000037147</v>
      </c>
      <c r="C210" s="4">
        <f t="shared" si="19"/>
        <v>1000954.3000000004</v>
      </c>
      <c r="D210" s="5">
        <f t="shared" si="20"/>
        <v>109896</v>
      </c>
      <c r="E210" s="6">
        <f t="shared" si="21"/>
        <v>1240</v>
      </c>
      <c r="F210" s="2">
        <f t="shared" si="22"/>
        <v>11286.400000000003</v>
      </c>
      <c r="G210" s="20">
        <f t="shared" si="23"/>
        <v>9779.0399999999991</v>
      </c>
    </row>
    <row r="211" spans="1:7" x14ac:dyDescent="0.3">
      <c r="A211" s="1">
        <v>207</v>
      </c>
      <c r="B211" s="4">
        <f t="shared" si="18"/>
        <v>8.9400000000031365</v>
      </c>
      <c r="C211" s="4">
        <f t="shared" si="19"/>
        <v>1012347.3400000004</v>
      </c>
      <c r="D211" s="5">
        <f t="shared" si="20"/>
        <v>111147</v>
      </c>
      <c r="E211" s="6">
        <f t="shared" si="21"/>
        <v>1251</v>
      </c>
      <c r="F211" s="2">
        <f t="shared" si="22"/>
        <v>11393.040000000003</v>
      </c>
      <c r="G211" s="20">
        <f t="shared" si="23"/>
        <v>9890.64</v>
      </c>
    </row>
    <row r="212" spans="1:7" x14ac:dyDescent="0.3">
      <c r="A212" s="1">
        <v>208</v>
      </c>
      <c r="B212" s="4">
        <f t="shared" si="18"/>
        <v>0.67000000000234117</v>
      </c>
      <c r="C212" s="4">
        <f t="shared" si="19"/>
        <v>1023859.5100000005</v>
      </c>
      <c r="D212" s="5">
        <f t="shared" si="20"/>
        <v>112412</v>
      </c>
      <c r="E212" s="6">
        <f t="shared" si="21"/>
        <v>1265</v>
      </c>
      <c r="F212" s="2">
        <f t="shared" si="22"/>
        <v>11512.170000000002</v>
      </c>
      <c r="G212" s="20">
        <f t="shared" si="23"/>
        <v>10003.23</v>
      </c>
    </row>
    <row r="213" spans="1:7" x14ac:dyDescent="0.3">
      <c r="A213" s="1">
        <v>209</v>
      </c>
      <c r="B213" s="4">
        <f t="shared" si="18"/>
        <v>6.1500000000022723</v>
      </c>
      <c r="C213" s="4">
        <f t="shared" si="19"/>
        <v>1035477.2600000005</v>
      </c>
      <c r="D213" s="5">
        <f t="shared" si="20"/>
        <v>113688</v>
      </c>
      <c r="E213" s="6">
        <f t="shared" si="21"/>
        <v>1276</v>
      </c>
      <c r="F213" s="2">
        <f t="shared" si="22"/>
        <v>11617.750000000002</v>
      </c>
      <c r="G213" s="20">
        <f t="shared" si="23"/>
        <v>10117.08</v>
      </c>
    </row>
    <row r="214" spans="1:7" x14ac:dyDescent="0.3">
      <c r="A214" s="1">
        <v>210</v>
      </c>
      <c r="B214" s="4">
        <f t="shared" si="18"/>
        <v>8.1700000000038049</v>
      </c>
      <c r="C214" s="4">
        <f t="shared" si="19"/>
        <v>1047215.3300000004</v>
      </c>
      <c r="D214" s="5">
        <f t="shared" si="20"/>
        <v>114977</v>
      </c>
      <c r="E214" s="6">
        <f t="shared" si="21"/>
        <v>1289</v>
      </c>
      <c r="F214" s="2">
        <f t="shared" si="22"/>
        <v>11738.070000000003</v>
      </c>
      <c r="G214" s="20">
        <f t="shared" si="23"/>
        <v>10231.92</v>
      </c>
    </row>
    <row r="215" spans="1:7" x14ac:dyDescent="0.3">
      <c r="A215" s="1">
        <v>211</v>
      </c>
      <c r="B215" s="4">
        <f t="shared" si="18"/>
        <v>7.9000000000044643</v>
      </c>
      <c r="C215" s="4">
        <f t="shared" si="19"/>
        <v>1059071.4300000004</v>
      </c>
      <c r="D215" s="5">
        <f t="shared" si="20"/>
        <v>116279</v>
      </c>
      <c r="E215" s="6">
        <f t="shared" si="21"/>
        <v>1302</v>
      </c>
      <c r="F215" s="2">
        <f t="shared" si="22"/>
        <v>11856.100000000004</v>
      </c>
      <c r="G215" s="20">
        <f t="shared" si="23"/>
        <v>10347.93</v>
      </c>
    </row>
    <row r="216" spans="1:7" x14ac:dyDescent="0.3">
      <c r="A216" s="1">
        <v>212</v>
      </c>
      <c r="B216" s="4">
        <f t="shared" si="18"/>
        <v>6.5100000000043234</v>
      </c>
      <c r="C216" s="4">
        <f t="shared" si="19"/>
        <v>1071044.4400000004</v>
      </c>
      <c r="D216" s="5">
        <f t="shared" si="20"/>
        <v>117594</v>
      </c>
      <c r="E216" s="6">
        <f t="shared" si="21"/>
        <v>1315</v>
      </c>
      <c r="F216" s="2">
        <f t="shared" si="22"/>
        <v>11973.010000000004</v>
      </c>
      <c r="G216" s="20">
        <f t="shared" si="23"/>
        <v>10465.109999999999</v>
      </c>
    </row>
    <row r="217" spans="1:7" x14ac:dyDescent="0.3">
      <c r="A217" s="1">
        <v>213</v>
      </c>
      <c r="B217" s="4">
        <f t="shared" si="18"/>
        <v>5.1700000000034549</v>
      </c>
      <c r="C217" s="4">
        <f t="shared" si="19"/>
        <v>1083134.4100000004</v>
      </c>
      <c r="D217" s="5">
        <f t="shared" si="20"/>
        <v>118922</v>
      </c>
      <c r="E217" s="6">
        <f t="shared" si="21"/>
        <v>1328</v>
      </c>
      <c r="F217" s="2">
        <f t="shared" si="22"/>
        <v>12089.970000000003</v>
      </c>
      <c r="G217" s="20">
        <f t="shared" si="23"/>
        <v>10583.46</v>
      </c>
    </row>
    <row r="218" spans="1:7" x14ac:dyDescent="0.3">
      <c r="A218" s="1">
        <v>214</v>
      </c>
      <c r="B218" s="4">
        <f t="shared" si="18"/>
        <v>5.0500000000037506</v>
      </c>
      <c r="C218" s="4">
        <f t="shared" si="19"/>
        <v>1095342.5600000003</v>
      </c>
      <c r="D218" s="5">
        <f t="shared" si="20"/>
        <v>120263</v>
      </c>
      <c r="E218" s="6">
        <f t="shared" si="21"/>
        <v>1341</v>
      </c>
      <c r="F218" s="2">
        <f t="shared" si="22"/>
        <v>12208.150000000003</v>
      </c>
      <c r="G218" s="20">
        <f t="shared" si="23"/>
        <v>10702.98</v>
      </c>
    </row>
    <row r="219" spans="1:7" x14ac:dyDescent="0.3">
      <c r="A219" s="1">
        <v>215</v>
      </c>
      <c r="B219" s="4">
        <f t="shared" si="18"/>
        <v>7.3200000000052832</v>
      </c>
      <c r="C219" s="4">
        <f t="shared" si="19"/>
        <v>1107671.2800000003</v>
      </c>
      <c r="D219" s="5">
        <f t="shared" si="20"/>
        <v>121617</v>
      </c>
      <c r="E219" s="6">
        <f t="shared" si="21"/>
        <v>1354</v>
      </c>
      <c r="F219" s="2">
        <f t="shared" si="22"/>
        <v>12328.720000000005</v>
      </c>
      <c r="G219" s="20">
        <f t="shared" si="23"/>
        <v>10823.67</v>
      </c>
    </row>
    <row r="220" spans="1:7" x14ac:dyDescent="0.3">
      <c r="A220" s="1">
        <v>216</v>
      </c>
      <c r="B220" s="4">
        <f t="shared" si="18"/>
        <v>4.0500000000044878</v>
      </c>
      <c r="C220" s="4">
        <f t="shared" si="19"/>
        <v>1120124.1300000004</v>
      </c>
      <c r="D220" s="5">
        <f t="shared" si="20"/>
        <v>122985</v>
      </c>
      <c r="E220" s="6">
        <f t="shared" si="21"/>
        <v>1368</v>
      </c>
      <c r="F220" s="2">
        <f t="shared" si="22"/>
        <v>12452.850000000004</v>
      </c>
      <c r="G220" s="20">
        <f t="shared" si="23"/>
        <v>10945.529999999999</v>
      </c>
    </row>
    <row r="221" spans="1:7" x14ac:dyDescent="0.3">
      <c r="A221" s="1">
        <v>217</v>
      </c>
      <c r="B221" s="4">
        <f t="shared" si="18"/>
        <v>5.6000000000048562</v>
      </c>
      <c r="C221" s="4">
        <f t="shared" si="19"/>
        <v>1132696.8300000003</v>
      </c>
      <c r="D221" s="5">
        <f t="shared" si="20"/>
        <v>124366</v>
      </c>
      <c r="E221" s="6">
        <f t="shared" si="21"/>
        <v>1381</v>
      </c>
      <c r="F221" s="2">
        <f t="shared" si="22"/>
        <v>12572.700000000004</v>
      </c>
      <c r="G221" s="20">
        <f t="shared" si="23"/>
        <v>11068.65</v>
      </c>
    </row>
    <row r="222" spans="1:7" x14ac:dyDescent="0.3">
      <c r="A222" s="1">
        <v>218</v>
      </c>
      <c r="B222" s="4">
        <f t="shared" si="18"/>
        <v>4.0400000000050067</v>
      </c>
      <c r="C222" s="4">
        <f t="shared" si="19"/>
        <v>1145395.3700000003</v>
      </c>
      <c r="D222" s="5">
        <f t="shared" si="20"/>
        <v>125761</v>
      </c>
      <c r="E222" s="6">
        <f t="shared" si="21"/>
        <v>1395</v>
      </c>
      <c r="F222" s="2">
        <f t="shared" si="22"/>
        <v>12698.540000000005</v>
      </c>
      <c r="G222" s="20">
        <f t="shared" si="23"/>
        <v>11192.939999999999</v>
      </c>
    </row>
    <row r="223" spans="1:7" x14ac:dyDescent="0.3">
      <c r="A223" s="1">
        <v>219</v>
      </c>
      <c r="B223" s="4">
        <f t="shared" si="18"/>
        <v>0.63000000000479339</v>
      </c>
      <c r="C223" s="4">
        <f t="shared" si="19"/>
        <v>1158217.9000000004</v>
      </c>
      <c r="D223" s="5">
        <f t="shared" si="20"/>
        <v>127170</v>
      </c>
      <c r="E223" s="6">
        <f t="shared" si="21"/>
        <v>1409</v>
      </c>
      <c r="F223" s="2">
        <f t="shared" si="22"/>
        <v>12822.530000000004</v>
      </c>
      <c r="G223" s="20">
        <f t="shared" si="23"/>
        <v>11318.49</v>
      </c>
    </row>
    <row r="224" spans="1:7" x14ac:dyDescent="0.3">
      <c r="A224" s="1">
        <v>220</v>
      </c>
      <c r="B224" s="4">
        <f t="shared" si="18"/>
        <v>5.7300000000044342</v>
      </c>
      <c r="C224" s="4">
        <f t="shared" si="19"/>
        <v>1171163.8300000003</v>
      </c>
      <c r="D224" s="5">
        <f t="shared" si="20"/>
        <v>128592</v>
      </c>
      <c r="E224" s="6">
        <f t="shared" si="21"/>
        <v>1422</v>
      </c>
      <c r="F224" s="2">
        <f t="shared" si="22"/>
        <v>12945.930000000004</v>
      </c>
      <c r="G224" s="20">
        <f t="shared" si="23"/>
        <v>11445.3</v>
      </c>
    </row>
    <row r="225" spans="2:7" x14ac:dyDescent="0.3">
      <c r="B225" s="4"/>
      <c r="C225" s="4"/>
      <c r="D225" s="5"/>
      <c r="E225" s="6"/>
      <c r="F225" s="2"/>
      <c r="G225" s="20"/>
    </row>
    <row r="226" spans="2:7" x14ac:dyDescent="0.3">
      <c r="B226" s="4"/>
      <c r="C226" s="4"/>
      <c r="D226" s="5"/>
      <c r="E226" s="6"/>
      <c r="F226" s="2"/>
      <c r="G226" s="20"/>
    </row>
    <row r="227" spans="2:7" x14ac:dyDescent="0.3">
      <c r="B227" s="4"/>
      <c r="C227" s="4"/>
      <c r="D227" s="5"/>
      <c r="E227" s="6"/>
      <c r="F227" s="2"/>
      <c r="G227" s="20"/>
    </row>
    <row r="228" spans="2:7" x14ac:dyDescent="0.3">
      <c r="B228" s="4"/>
      <c r="C228" s="4"/>
      <c r="D228" s="5"/>
      <c r="E228" s="6"/>
      <c r="F228" s="2"/>
      <c r="G228" s="20"/>
    </row>
    <row r="229" spans="2:7" x14ac:dyDescent="0.3">
      <c r="B229" s="4"/>
      <c r="C229" s="4"/>
      <c r="D229" s="5"/>
      <c r="E229" s="6"/>
      <c r="F229" s="2"/>
      <c r="G229" s="20"/>
    </row>
    <row r="230" spans="2:7" x14ac:dyDescent="0.3">
      <c r="B230" s="4"/>
      <c r="C230" s="4"/>
      <c r="D230" s="5"/>
      <c r="E230" s="6"/>
      <c r="F230" s="2"/>
      <c r="G230" s="20"/>
    </row>
    <row r="231" spans="2:7" x14ac:dyDescent="0.3">
      <c r="B231" s="4"/>
      <c r="C231" s="4"/>
      <c r="D231" s="5"/>
      <c r="E231" s="6"/>
      <c r="F231" s="2"/>
      <c r="G231" s="20"/>
    </row>
    <row r="232" spans="2:7" x14ac:dyDescent="0.3">
      <c r="B232" s="4"/>
      <c r="C232" s="4"/>
      <c r="D232" s="5"/>
      <c r="E232" s="6"/>
      <c r="F232" s="2"/>
      <c r="G232" s="20"/>
    </row>
    <row r="233" spans="2:7" x14ac:dyDescent="0.3">
      <c r="B233" s="4"/>
      <c r="C233" s="4"/>
      <c r="D233" s="5"/>
      <c r="E233" s="6"/>
      <c r="F233" s="2"/>
      <c r="G233" s="20"/>
    </row>
    <row r="234" spans="2:7" x14ac:dyDescent="0.3">
      <c r="B234" s="4"/>
      <c r="C234" s="4"/>
      <c r="D234" s="5"/>
      <c r="E234" s="6"/>
      <c r="F234" s="2"/>
      <c r="G234" s="20"/>
    </row>
    <row r="235" spans="2:7" x14ac:dyDescent="0.3">
      <c r="B235" s="4"/>
      <c r="C235" s="4"/>
      <c r="D235" s="5"/>
      <c r="E235" s="6"/>
      <c r="F235" s="2"/>
      <c r="G235" s="20"/>
    </row>
    <row r="236" spans="2:7" x14ac:dyDescent="0.3">
      <c r="B236" s="4"/>
      <c r="C236" s="4"/>
      <c r="D236" s="5"/>
      <c r="E236" s="6"/>
      <c r="F236" s="2"/>
      <c r="G236" s="20"/>
    </row>
    <row r="237" spans="2:7" x14ac:dyDescent="0.3">
      <c r="B237" s="4"/>
      <c r="C237" s="4"/>
      <c r="D237" s="5"/>
      <c r="E237" s="6"/>
      <c r="F237" s="2"/>
      <c r="G237" s="20"/>
    </row>
    <row r="238" spans="2:7" x14ac:dyDescent="0.3">
      <c r="B238" s="4"/>
      <c r="C238" s="4"/>
      <c r="D238" s="5"/>
      <c r="E238" s="6"/>
      <c r="F238" s="2"/>
      <c r="G238" s="20"/>
    </row>
    <row r="239" spans="2:7" x14ac:dyDescent="0.3">
      <c r="B239" s="4"/>
      <c r="C239" s="4"/>
      <c r="D239" s="5"/>
      <c r="E239" s="6"/>
      <c r="F239" s="2"/>
      <c r="G239" s="20"/>
    </row>
    <row r="240" spans="2:7" x14ac:dyDescent="0.3">
      <c r="B240" s="4"/>
      <c r="C240" s="4"/>
      <c r="D240" s="5"/>
      <c r="E240" s="6"/>
      <c r="F240" s="2"/>
      <c r="G240" s="20"/>
    </row>
    <row r="241" spans="2:7" x14ac:dyDescent="0.3">
      <c r="B241" s="4"/>
      <c r="C241" s="4"/>
      <c r="D241" s="5"/>
      <c r="E241" s="6"/>
      <c r="F241" s="2"/>
      <c r="G241" s="20"/>
    </row>
    <row r="242" spans="2:7" x14ac:dyDescent="0.3">
      <c r="B242" s="4"/>
      <c r="C242" s="4"/>
      <c r="D242" s="5"/>
      <c r="E242" s="6"/>
      <c r="F242" s="2"/>
      <c r="G242" s="20"/>
    </row>
    <row r="243" spans="2:7" x14ac:dyDescent="0.3">
      <c r="B243" s="4"/>
      <c r="C243" s="4"/>
      <c r="D243" s="5"/>
      <c r="E243" s="6"/>
      <c r="F243" s="2"/>
      <c r="G243" s="20"/>
    </row>
    <row r="244" spans="2:7" x14ac:dyDescent="0.3">
      <c r="B244" s="4"/>
      <c r="C244" s="4"/>
      <c r="D244" s="5"/>
      <c r="E244" s="6"/>
      <c r="F244" s="2"/>
      <c r="G244" s="20"/>
    </row>
    <row r="245" spans="2:7" x14ac:dyDescent="0.3">
      <c r="B245" s="4"/>
      <c r="C245" s="4"/>
      <c r="D245" s="5"/>
      <c r="E245" s="6"/>
      <c r="F245" s="2"/>
      <c r="G245" s="20"/>
    </row>
    <row r="246" spans="2:7" x14ac:dyDescent="0.3">
      <c r="B246" s="4"/>
      <c r="C246" s="4"/>
      <c r="D246" s="5"/>
      <c r="E246" s="6"/>
      <c r="F246" s="2"/>
      <c r="G246" s="20"/>
    </row>
    <row r="247" spans="2:7" x14ac:dyDescent="0.3">
      <c r="B247" s="4"/>
      <c r="C247" s="4"/>
      <c r="D247" s="5"/>
      <c r="E247" s="6"/>
      <c r="F247" s="2"/>
      <c r="G247" s="20"/>
    </row>
    <row r="248" spans="2:7" x14ac:dyDescent="0.3">
      <c r="B248" s="4"/>
      <c r="C248" s="4"/>
      <c r="D248" s="5"/>
      <c r="E248" s="6"/>
      <c r="F248" s="2"/>
      <c r="G248" s="20"/>
    </row>
    <row r="249" spans="2:7" x14ac:dyDescent="0.3">
      <c r="B249" s="4"/>
      <c r="C249" s="4"/>
      <c r="D249" s="5"/>
      <c r="E249" s="6"/>
      <c r="F249" s="2"/>
      <c r="G249" s="20"/>
    </row>
    <row r="250" spans="2:7" x14ac:dyDescent="0.3">
      <c r="B250" s="4"/>
      <c r="C250" s="4"/>
      <c r="D250" s="5"/>
      <c r="E250" s="6"/>
      <c r="F250" s="2"/>
      <c r="G250" s="20"/>
    </row>
    <row r="251" spans="2:7" x14ac:dyDescent="0.3">
      <c r="B251" s="4"/>
      <c r="C251" s="4"/>
      <c r="D251" s="5"/>
      <c r="E251" s="6"/>
      <c r="F251" s="2"/>
      <c r="G251" s="20"/>
    </row>
    <row r="252" spans="2:7" x14ac:dyDescent="0.3">
      <c r="B252" s="4"/>
      <c r="C252" s="4"/>
      <c r="D252" s="5"/>
      <c r="E252" s="6"/>
      <c r="F252" s="2"/>
      <c r="G252" s="20"/>
    </row>
    <row r="253" spans="2:7" x14ac:dyDescent="0.3">
      <c r="B253" s="4"/>
      <c r="C253" s="4"/>
      <c r="D253" s="5"/>
      <c r="E253" s="6"/>
      <c r="F253" s="2"/>
      <c r="G253" s="20"/>
    </row>
    <row r="254" spans="2:7" x14ac:dyDescent="0.3">
      <c r="B254" s="4"/>
      <c r="C254" s="4"/>
      <c r="D254" s="5"/>
      <c r="E254" s="6"/>
      <c r="F254" s="2"/>
      <c r="G254" s="20"/>
    </row>
    <row r="255" spans="2:7" x14ac:dyDescent="0.3">
      <c r="B255" s="4"/>
      <c r="C255" s="4"/>
      <c r="D255" s="5"/>
      <c r="E255" s="6"/>
      <c r="F255" s="2"/>
      <c r="G255" s="20"/>
    </row>
    <row r="256" spans="2:7" x14ac:dyDescent="0.3">
      <c r="B256" s="4"/>
      <c r="C256" s="4"/>
      <c r="D256" s="5"/>
      <c r="E256" s="6"/>
      <c r="F256" s="2"/>
      <c r="G256" s="20"/>
    </row>
    <row r="257" spans="2:7" x14ac:dyDescent="0.3">
      <c r="B257" s="4"/>
      <c r="C257" s="4"/>
      <c r="D257" s="5"/>
      <c r="E257" s="6"/>
      <c r="F257" s="2"/>
      <c r="G257" s="20"/>
    </row>
    <row r="258" spans="2:7" x14ac:dyDescent="0.3">
      <c r="B258" s="4"/>
      <c r="C258" s="4"/>
      <c r="D258" s="5"/>
      <c r="E258" s="6"/>
      <c r="F258" s="2"/>
      <c r="G258" s="20"/>
    </row>
    <row r="259" spans="2:7" x14ac:dyDescent="0.3">
      <c r="B259" s="4"/>
      <c r="C259" s="4"/>
      <c r="D259" s="5"/>
      <c r="E259" s="6"/>
      <c r="F259" s="2"/>
      <c r="G259" s="20"/>
    </row>
    <row r="260" spans="2:7" x14ac:dyDescent="0.3">
      <c r="B260" s="4"/>
      <c r="C260" s="4"/>
      <c r="D260" s="5"/>
      <c r="E260" s="6"/>
      <c r="F260" s="2"/>
      <c r="G260" s="20"/>
    </row>
    <row r="261" spans="2:7" x14ac:dyDescent="0.3">
      <c r="B261" s="4"/>
      <c r="C261" s="4"/>
      <c r="D261" s="5"/>
      <c r="E261" s="6"/>
      <c r="F261" s="2"/>
      <c r="G261" s="20"/>
    </row>
    <row r="262" spans="2:7" x14ac:dyDescent="0.3">
      <c r="B262" s="4"/>
      <c r="C262" s="4"/>
      <c r="D262" s="5"/>
      <c r="E262" s="6"/>
      <c r="F262" s="2"/>
      <c r="G262" s="20"/>
    </row>
    <row r="263" spans="2:7" x14ac:dyDescent="0.3">
      <c r="B263" s="4"/>
      <c r="C263" s="4"/>
      <c r="D263" s="5"/>
      <c r="E263" s="6"/>
      <c r="F263" s="2"/>
      <c r="G263" s="20"/>
    </row>
    <row r="264" spans="2:7" x14ac:dyDescent="0.3">
      <c r="B264" s="4"/>
      <c r="C264" s="4"/>
      <c r="D264" s="5"/>
      <c r="E264" s="6"/>
      <c r="F264" s="2"/>
      <c r="G264" s="20"/>
    </row>
    <row r="265" spans="2:7" x14ac:dyDescent="0.3">
      <c r="B265" s="4"/>
      <c r="C265" s="4"/>
      <c r="D265" s="5"/>
      <c r="E265" s="6"/>
      <c r="F265" s="2"/>
      <c r="G265" s="20"/>
    </row>
    <row r="266" spans="2:7" x14ac:dyDescent="0.3">
      <c r="B266" s="4"/>
      <c r="C266" s="4"/>
      <c r="D266" s="5"/>
      <c r="E266" s="6"/>
      <c r="F266" s="2"/>
      <c r="G266" s="20"/>
    </row>
    <row r="267" spans="2:7" x14ac:dyDescent="0.3">
      <c r="B267" s="4"/>
      <c r="C267" s="4"/>
      <c r="D267" s="5"/>
      <c r="E267" s="6"/>
      <c r="F267" s="2"/>
      <c r="G267" s="20"/>
    </row>
    <row r="268" spans="2:7" x14ac:dyDescent="0.3">
      <c r="B268" s="4"/>
      <c r="C268" s="4"/>
      <c r="D268" s="5"/>
      <c r="E268" s="6"/>
      <c r="F268" s="2"/>
      <c r="G268" s="20"/>
    </row>
    <row r="269" spans="2:7" x14ac:dyDescent="0.3">
      <c r="B269" s="4"/>
      <c r="C269" s="4"/>
      <c r="D269" s="5"/>
      <c r="E269" s="6"/>
      <c r="F269" s="2"/>
      <c r="G269" s="20"/>
    </row>
    <row r="270" spans="2:7" x14ac:dyDescent="0.3">
      <c r="B270" s="4"/>
      <c r="C270" s="4"/>
      <c r="D270" s="5"/>
      <c r="E270" s="6"/>
      <c r="F270" s="2"/>
      <c r="G270" s="20"/>
    </row>
    <row r="271" spans="2:7" x14ac:dyDescent="0.3">
      <c r="B271" s="4"/>
      <c r="C271" s="4"/>
      <c r="D271" s="5"/>
      <c r="E271" s="6"/>
      <c r="F271" s="2"/>
      <c r="G271" s="20"/>
    </row>
    <row r="272" spans="2:7" x14ac:dyDescent="0.3">
      <c r="B272" s="4"/>
      <c r="C272" s="4"/>
      <c r="D272" s="5"/>
      <c r="E272" s="6"/>
      <c r="F272" s="2"/>
      <c r="G272" s="20"/>
    </row>
    <row r="273" spans="2:7" x14ac:dyDescent="0.3">
      <c r="B273" s="4"/>
      <c r="C273" s="4"/>
      <c r="D273" s="5"/>
      <c r="E273" s="6"/>
      <c r="F273" s="2"/>
      <c r="G273" s="20"/>
    </row>
    <row r="274" spans="2:7" x14ac:dyDescent="0.3">
      <c r="B274" s="4"/>
      <c r="C274" s="4"/>
      <c r="D274" s="5"/>
      <c r="E274" s="6"/>
      <c r="F274" s="2"/>
      <c r="G274" s="20"/>
    </row>
    <row r="275" spans="2:7" x14ac:dyDescent="0.3">
      <c r="B275" s="4"/>
      <c r="C275" s="4"/>
      <c r="D275" s="5"/>
      <c r="E275" s="6"/>
      <c r="F275" s="2"/>
      <c r="G275" s="20"/>
    </row>
    <row r="276" spans="2:7" x14ac:dyDescent="0.3">
      <c r="B276" s="4"/>
      <c r="C276" s="4"/>
      <c r="D276" s="5"/>
      <c r="E276" s="6"/>
      <c r="F276" s="2"/>
      <c r="G276" s="20"/>
    </row>
    <row r="277" spans="2:7" x14ac:dyDescent="0.3">
      <c r="B277" s="4"/>
      <c r="C277" s="4"/>
      <c r="D277" s="5"/>
      <c r="E277" s="6"/>
      <c r="F277" s="2"/>
      <c r="G277" s="20"/>
    </row>
    <row r="278" spans="2:7" x14ac:dyDescent="0.3">
      <c r="B278" s="4"/>
      <c r="C278" s="4"/>
      <c r="D278" s="5"/>
      <c r="E278" s="6"/>
      <c r="F278" s="2"/>
      <c r="G278" s="20"/>
    </row>
    <row r="279" spans="2:7" x14ac:dyDescent="0.3">
      <c r="B279" s="4"/>
      <c r="C279" s="4"/>
      <c r="D279" s="5"/>
      <c r="E279" s="6"/>
      <c r="F279" s="2"/>
      <c r="G279" s="20"/>
    </row>
    <row r="280" spans="2:7" x14ac:dyDescent="0.3">
      <c r="B280" s="4"/>
      <c r="C280" s="4"/>
      <c r="D280" s="5"/>
      <c r="E280" s="6"/>
      <c r="F280" s="2"/>
      <c r="G280" s="20"/>
    </row>
    <row r="281" spans="2:7" x14ac:dyDescent="0.3">
      <c r="B281" s="4"/>
      <c r="C281" s="4"/>
      <c r="D281" s="5"/>
      <c r="E281" s="6"/>
      <c r="F281" s="2"/>
      <c r="G281" s="20"/>
    </row>
    <row r="282" spans="2:7" x14ac:dyDescent="0.3">
      <c r="B282" s="4"/>
      <c r="C282" s="4"/>
      <c r="D282" s="5"/>
      <c r="E282" s="6"/>
      <c r="F282" s="2"/>
      <c r="G282" s="20"/>
    </row>
    <row r="283" spans="2:7" x14ac:dyDescent="0.3">
      <c r="B283" s="4"/>
      <c r="C283" s="4"/>
      <c r="D283" s="5"/>
      <c r="E283" s="6"/>
      <c r="F283" s="2"/>
      <c r="G283" s="20"/>
    </row>
    <row r="284" spans="2:7" x14ac:dyDescent="0.3">
      <c r="B284" s="4"/>
      <c r="C284" s="4"/>
      <c r="D284" s="5"/>
      <c r="E284" s="6"/>
      <c r="F284" s="2"/>
      <c r="G284" s="20"/>
    </row>
    <row r="285" spans="2:7" x14ac:dyDescent="0.3">
      <c r="B285" s="4"/>
      <c r="C285" s="4"/>
      <c r="D285" s="5"/>
      <c r="E285" s="6"/>
      <c r="F285" s="2"/>
      <c r="G285" s="20"/>
    </row>
    <row r="286" spans="2:7" x14ac:dyDescent="0.3">
      <c r="B286" s="4"/>
      <c r="C286" s="4"/>
      <c r="D286" s="5"/>
      <c r="E286" s="6"/>
      <c r="F286" s="2"/>
      <c r="G286" s="20"/>
    </row>
    <row r="287" spans="2:7" x14ac:dyDescent="0.3">
      <c r="B287" s="4"/>
      <c r="C287" s="4"/>
      <c r="D287" s="5"/>
      <c r="E287" s="6"/>
      <c r="F287" s="2"/>
      <c r="G287" s="20"/>
    </row>
    <row r="288" spans="2:7" x14ac:dyDescent="0.3">
      <c r="B288" s="4"/>
      <c r="C288" s="4"/>
      <c r="D288" s="5"/>
      <c r="E288" s="6"/>
      <c r="F288" s="2"/>
      <c r="G288" s="20"/>
    </row>
    <row r="289" spans="2:7" x14ac:dyDescent="0.3">
      <c r="B289" s="4"/>
      <c r="C289" s="4"/>
      <c r="D289" s="5"/>
      <c r="E289" s="6"/>
      <c r="F289" s="2"/>
      <c r="G289" s="20"/>
    </row>
    <row r="290" spans="2:7" x14ac:dyDescent="0.3">
      <c r="B290" s="4"/>
      <c r="C290" s="4"/>
      <c r="D290" s="5"/>
      <c r="E290" s="6"/>
      <c r="F290" s="2"/>
      <c r="G290" s="20"/>
    </row>
    <row r="291" spans="2:7" x14ac:dyDescent="0.3">
      <c r="B291" s="4"/>
      <c r="C291" s="4"/>
      <c r="D291" s="5"/>
      <c r="E291" s="6"/>
      <c r="F291" s="2"/>
      <c r="G291" s="20"/>
    </row>
    <row r="292" spans="2:7" x14ac:dyDescent="0.3">
      <c r="B292" s="4"/>
      <c r="C292" s="4"/>
      <c r="D292" s="5"/>
      <c r="E292" s="6"/>
      <c r="F292" s="2"/>
      <c r="G292" s="20"/>
    </row>
    <row r="293" spans="2:7" x14ac:dyDescent="0.3">
      <c r="B293" s="4"/>
      <c r="C293" s="4"/>
      <c r="D293" s="5"/>
      <c r="E293" s="6"/>
      <c r="F293" s="2"/>
      <c r="G293" s="20"/>
    </row>
    <row r="294" spans="2:7" x14ac:dyDescent="0.3">
      <c r="B294" s="4"/>
      <c r="C294" s="4"/>
      <c r="D294" s="5"/>
      <c r="E294" s="6"/>
      <c r="F294" s="2"/>
      <c r="G294" s="20"/>
    </row>
    <row r="295" spans="2:7" x14ac:dyDescent="0.3">
      <c r="B295" s="4"/>
      <c r="C295" s="4"/>
      <c r="D295" s="5"/>
      <c r="E295" s="6"/>
      <c r="F295" s="2"/>
      <c r="G295" s="20"/>
    </row>
    <row r="296" spans="2:7" x14ac:dyDescent="0.3">
      <c r="B296" s="4"/>
      <c r="C296" s="4"/>
      <c r="D296" s="5"/>
      <c r="E296" s="6"/>
      <c r="F296" s="2"/>
      <c r="G296" s="20"/>
    </row>
    <row r="297" spans="2:7" x14ac:dyDescent="0.3">
      <c r="B297" s="4"/>
      <c r="C297" s="4"/>
      <c r="D297" s="5"/>
      <c r="E297" s="6"/>
      <c r="F297" s="2"/>
      <c r="G297" s="20"/>
    </row>
    <row r="298" spans="2:7" x14ac:dyDescent="0.3">
      <c r="B298" s="4"/>
      <c r="C298" s="4"/>
      <c r="D298" s="5"/>
      <c r="E298" s="6"/>
      <c r="F298" s="2"/>
      <c r="G298" s="20"/>
    </row>
    <row r="299" spans="2:7" x14ac:dyDescent="0.3">
      <c r="B299" s="4"/>
      <c r="C299" s="4"/>
      <c r="D299" s="5"/>
      <c r="E299" s="6"/>
      <c r="F299" s="2"/>
      <c r="G299" s="20"/>
    </row>
    <row r="300" spans="2:7" x14ac:dyDescent="0.3">
      <c r="B300" s="4"/>
      <c r="C300" s="4"/>
      <c r="D300" s="5"/>
      <c r="E300" s="6"/>
      <c r="F300" s="2"/>
      <c r="G300" s="20"/>
    </row>
    <row r="301" spans="2:7" x14ac:dyDescent="0.3">
      <c r="B301" s="4"/>
      <c r="C301" s="4"/>
      <c r="D301" s="5"/>
      <c r="E301" s="6"/>
      <c r="F301" s="2"/>
      <c r="G301" s="20"/>
    </row>
    <row r="302" spans="2:7" x14ac:dyDescent="0.3">
      <c r="B302" s="4"/>
      <c r="C302" s="4"/>
      <c r="D302" s="5"/>
      <c r="E302" s="6"/>
      <c r="F302" s="2"/>
      <c r="G302" s="20"/>
    </row>
    <row r="303" spans="2:7" x14ac:dyDescent="0.3">
      <c r="B303" s="4"/>
      <c r="C303" s="4"/>
      <c r="D303" s="5"/>
      <c r="E303" s="6"/>
      <c r="F303" s="2"/>
      <c r="G303" s="20"/>
    </row>
    <row r="304" spans="2:7" x14ac:dyDescent="0.3">
      <c r="B304" s="4"/>
      <c r="C304" s="4"/>
      <c r="D304" s="5"/>
      <c r="E304" s="6"/>
      <c r="F304" s="2"/>
      <c r="G304" s="20"/>
    </row>
    <row r="305" spans="2:7" x14ac:dyDescent="0.3">
      <c r="B305" s="4"/>
      <c r="C305" s="4"/>
      <c r="D305" s="5"/>
      <c r="E305" s="6"/>
      <c r="F305" s="2"/>
      <c r="G305" s="20"/>
    </row>
    <row r="306" spans="2:7" x14ac:dyDescent="0.3">
      <c r="B306" s="4"/>
      <c r="C306" s="4"/>
      <c r="D306" s="5"/>
      <c r="E306" s="6"/>
      <c r="F306" s="2"/>
      <c r="G306" s="20"/>
    </row>
    <row r="307" spans="2:7" x14ac:dyDescent="0.3">
      <c r="B307" s="4"/>
      <c r="C307" s="4"/>
      <c r="D307" s="5"/>
      <c r="E307" s="6"/>
      <c r="F307" s="2"/>
      <c r="G307" s="20"/>
    </row>
    <row r="308" spans="2:7" x14ac:dyDescent="0.3">
      <c r="B308" s="4"/>
      <c r="C308" s="4"/>
      <c r="D308" s="5"/>
      <c r="E308" s="6"/>
      <c r="F308" s="2"/>
      <c r="G308" s="20"/>
    </row>
    <row r="309" spans="2:7" x14ac:dyDescent="0.3">
      <c r="B309" s="4"/>
      <c r="C309" s="4"/>
      <c r="D309" s="5"/>
      <c r="E309" s="6"/>
      <c r="F309" s="2"/>
      <c r="G309" s="20"/>
    </row>
    <row r="310" spans="2:7" x14ac:dyDescent="0.3">
      <c r="B310" s="4"/>
      <c r="C310" s="4"/>
      <c r="D310" s="5"/>
      <c r="E310" s="6"/>
      <c r="F310" s="2"/>
      <c r="G310" s="20"/>
    </row>
    <row r="311" spans="2:7" x14ac:dyDescent="0.3">
      <c r="B311" s="4"/>
      <c r="C311" s="4"/>
      <c r="D311" s="5"/>
      <c r="E311" s="6"/>
      <c r="F311" s="2"/>
      <c r="G311" s="20"/>
    </row>
    <row r="312" spans="2:7" x14ac:dyDescent="0.3">
      <c r="B312" s="4"/>
      <c r="C312" s="4"/>
      <c r="D312" s="5"/>
      <c r="E312" s="6"/>
      <c r="F312" s="2"/>
      <c r="G312" s="20"/>
    </row>
    <row r="313" spans="2:7" x14ac:dyDescent="0.3">
      <c r="B313" s="4"/>
      <c r="C313" s="4"/>
      <c r="D313" s="5"/>
      <c r="E313" s="6"/>
      <c r="F313" s="2"/>
      <c r="G313" s="20"/>
    </row>
    <row r="314" spans="2:7" x14ac:dyDescent="0.3">
      <c r="B314" s="4"/>
      <c r="C314" s="4"/>
      <c r="D314" s="5"/>
      <c r="E314" s="6"/>
      <c r="F314" s="2"/>
      <c r="G314" s="20"/>
    </row>
    <row r="315" spans="2:7" x14ac:dyDescent="0.3">
      <c r="B315" s="4"/>
      <c r="C315" s="4"/>
      <c r="D315" s="5"/>
      <c r="E315" s="6"/>
      <c r="F315" s="2"/>
      <c r="G315" s="20"/>
    </row>
    <row r="316" spans="2:7" x14ac:dyDescent="0.3">
      <c r="B316" s="4"/>
      <c r="C316" s="4"/>
      <c r="D316" s="5"/>
      <c r="E316" s="6"/>
      <c r="F316" s="2"/>
      <c r="G316" s="20"/>
    </row>
    <row r="317" spans="2:7" x14ac:dyDescent="0.3">
      <c r="B317" s="4"/>
      <c r="C317" s="4"/>
      <c r="D317" s="5"/>
      <c r="E317" s="6"/>
      <c r="F317" s="2"/>
      <c r="G317" s="20"/>
    </row>
    <row r="318" spans="2:7" x14ac:dyDescent="0.3">
      <c r="B318" s="4"/>
      <c r="C318" s="4"/>
      <c r="D318" s="5"/>
      <c r="E318" s="6"/>
      <c r="F318" s="2"/>
      <c r="G318" s="20"/>
    </row>
    <row r="319" spans="2:7" x14ac:dyDescent="0.3">
      <c r="B319" s="4"/>
      <c r="C319" s="4"/>
      <c r="D319" s="5"/>
      <c r="E319" s="6"/>
      <c r="F319" s="2"/>
      <c r="G319" s="20"/>
    </row>
    <row r="320" spans="2:7" x14ac:dyDescent="0.3">
      <c r="B320" s="4"/>
      <c r="C320" s="4"/>
      <c r="D320" s="5"/>
      <c r="E320" s="6"/>
      <c r="F320" s="2"/>
      <c r="G320" s="20"/>
    </row>
    <row r="321" spans="2:7" x14ac:dyDescent="0.3">
      <c r="B321" s="4"/>
      <c r="C321" s="4"/>
      <c r="D321" s="5"/>
      <c r="E321" s="6"/>
      <c r="F321" s="2"/>
      <c r="G321" s="20"/>
    </row>
    <row r="322" spans="2:7" x14ac:dyDescent="0.3">
      <c r="B322" s="4"/>
      <c r="C322" s="4"/>
      <c r="D322" s="5"/>
      <c r="E322" s="6"/>
      <c r="F322" s="2"/>
      <c r="G322" s="20"/>
    </row>
    <row r="323" spans="2:7" x14ac:dyDescent="0.3">
      <c r="B323" s="4"/>
      <c r="C323" s="4"/>
      <c r="D323" s="5"/>
      <c r="E323" s="6"/>
      <c r="F323" s="2"/>
      <c r="G323" s="20"/>
    </row>
    <row r="324" spans="2:7" x14ac:dyDescent="0.3">
      <c r="B324" s="4"/>
      <c r="C324" s="4"/>
      <c r="D324" s="5"/>
      <c r="E324" s="6"/>
      <c r="F324" s="2"/>
      <c r="G324" s="20"/>
    </row>
    <row r="325" spans="2:7" x14ac:dyDescent="0.3">
      <c r="B325" s="4"/>
      <c r="C325" s="4"/>
      <c r="D325" s="5"/>
      <c r="E325" s="6"/>
      <c r="F325" s="2"/>
      <c r="G325" s="20"/>
    </row>
    <row r="326" spans="2:7" x14ac:dyDescent="0.3">
      <c r="B326" s="4"/>
      <c r="C326" s="4"/>
      <c r="D326" s="5"/>
      <c r="E326" s="6"/>
      <c r="F326" s="2"/>
      <c r="G326" s="20"/>
    </row>
    <row r="327" spans="2:7" x14ac:dyDescent="0.3">
      <c r="B327" s="4"/>
      <c r="C327" s="4"/>
      <c r="D327" s="5"/>
      <c r="E327" s="6"/>
      <c r="F327" s="2"/>
      <c r="G327" s="20"/>
    </row>
    <row r="328" spans="2:7" x14ac:dyDescent="0.3">
      <c r="B328" s="4"/>
      <c r="C328" s="4"/>
      <c r="D328" s="5"/>
      <c r="E328" s="6"/>
      <c r="F328" s="2"/>
      <c r="G328" s="20"/>
    </row>
    <row r="329" spans="2:7" x14ac:dyDescent="0.3">
      <c r="B329" s="4"/>
      <c r="C329" s="4"/>
      <c r="D329" s="5"/>
      <c r="E329" s="6"/>
      <c r="F329" s="2"/>
      <c r="G329" s="20"/>
    </row>
    <row r="330" spans="2:7" x14ac:dyDescent="0.3">
      <c r="B330" s="4"/>
      <c r="C330" s="4"/>
      <c r="D330" s="5"/>
      <c r="E330" s="6"/>
      <c r="F330" s="2"/>
      <c r="G330" s="20"/>
    </row>
    <row r="331" spans="2:7" x14ac:dyDescent="0.3">
      <c r="B331" s="4"/>
      <c r="C331" s="4"/>
      <c r="D331" s="5"/>
      <c r="E331" s="6"/>
      <c r="F331" s="2"/>
      <c r="G331" s="20"/>
    </row>
    <row r="332" spans="2:7" x14ac:dyDescent="0.3">
      <c r="B332" s="4"/>
      <c r="C332" s="4"/>
      <c r="D332" s="5"/>
      <c r="E332" s="6"/>
      <c r="F332" s="2"/>
      <c r="G332" s="20"/>
    </row>
    <row r="333" spans="2:7" x14ac:dyDescent="0.3">
      <c r="B333" s="4"/>
      <c r="C333" s="4"/>
      <c r="D333" s="5"/>
      <c r="E333" s="6"/>
      <c r="F333" s="2"/>
      <c r="G333" s="20"/>
    </row>
    <row r="334" spans="2:7" x14ac:dyDescent="0.3">
      <c r="B334" s="4"/>
      <c r="C334" s="4"/>
      <c r="D334" s="5"/>
      <c r="E334" s="6"/>
      <c r="F334" s="2"/>
      <c r="G334" s="20"/>
    </row>
    <row r="335" spans="2:7" x14ac:dyDescent="0.3">
      <c r="B335" s="4"/>
      <c r="C335" s="4"/>
      <c r="D335" s="5"/>
      <c r="E335" s="6"/>
      <c r="F335" s="2"/>
      <c r="G335" s="20"/>
    </row>
    <row r="336" spans="2:7" x14ac:dyDescent="0.3">
      <c r="B336" s="4"/>
      <c r="C336" s="4"/>
      <c r="D336" s="5"/>
      <c r="E336" s="6"/>
      <c r="F336" s="2"/>
      <c r="G336" s="20"/>
    </row>
    <row r="337" spans="2:7" x14ac:dyDescent="0.3">
      <c r="B337" s="4"/>
      <c r="C337" s="4"/>
      <c r="D337" s="5"/>
      <c r="E337" s="6"/>
      <c r="F337" s="2"/>
      <c r="G337" s="20"/>
    </row>
    <row r="338" spans="2:7" x14ac:dyDescent="0.3">
      <c r="B338" s="4"/>
      <c r="C338" s="4"/>
      <c r="D338" s="5"/>
      <c r="E338" s="6"/>
      <c r="F338" s="2"/>
      <c r="G338" s="20"/>
    </row>
    <row r="339" spans="2:7" x14ac:dyDescent="0.3">
      <c r="B339" s="4"/>
      <c r="C339" s="4"/>
      <c r="D339" s="5"/>
      <c r="E339" s="6"/>
      <c r="F339" s="2"/>
      <c r="G339" s="20"/>
    </row>
    <row r="340" spans="2:7" x14ac:dyDescent="0.3">
      <c r="B340" s="4"/>
      <c r="C340" s="4"/>
      <c r="D340" s="5"/>
      <c r="E340" s="6"/>
      <c r="F340" s="2"/>
      <c r="G340" s="20"/>
    </row>
    <row r="341" spans="2:7" x14ac:dyDescent="0.3">
      <c r="B341" s="4"/>
      <c r="C341" s="4"/>
      <c r="D341" s="5"/>
      <c r="E341" s="6"/>
      <c r="F341" s="2"/>
      <c r="G341" s="20"/>
    </row>
    <row r="342" spans="2:7" x14ac:dyDescent="0.3">
      <c r="B342" s="4"/>
      <c r="C342" s="4"/>
      <c r="D342" s="5"/>
      <c r="E342" s="6"/>
      <c r="F342" s="2"/>
      <c r="G342" s="20"/>
    </row>
    <row r="343" spans="2:7" x14ac:dyDescent="0.3">
      <c r="B343" s="4"/>
      <c r="C343" s="4"/>
      <c r="D343" s="5"/>
      <c r="E343" s="6"/>
      <c r="F343" s="2"/>
      <c r="G343" s="20"/>
    </row>
    <row r="344" spans="2:7" x14ac:dyDescent="0.3">
      <c r="B344" s="4"/>
      <c r="C344" s="4"/>
      <c r="D344" s="5"/>
      <c r="E344" s="6"/>
      <c r="F344" s="2"/>
      <c r="G344" s="20"/>
    </row>
    <row r="345" spans="2:7" x14ac:dyDescent="0.3">
      <c r="B345" s="4"/>
      <c r="C345" s="4"/>
      <c r="D345" s="5"/>
      <c r="E345" s="6"/>
      <c r="F345" s="2"/>
      <c r="G345" s="20"/>
    </row>
    <row r="346" spans="2:7" x14ac:dyDescent="0.3">
      <c r="B346" s="4"/>
      <c r="C346" s="4"/>
      <c r="D346" s="5"/>
      <c r="E346" s="6"/>
      <c r="F346" s="2"/>
      <c r="G346" s="20"/>
    </row>
    <row r="347" spans="2:7" x14ac:dyDescent="0.3">
      <c r="B347" s="4"/>
      <c r="C347" s="4"/>
      <c r="D347" s="5"/>
      <c r="E347" s="6"/>
      <c r="F347" s="2"/>
      <c r="G347" s="20"/>
    </row>
    <row r="348" spans="2:7" x14ac:dyDescent="0.3">
      <c r="B348" s="4"/>
      <c r="C348" s="4"/>
      <c r="D348" s="5"/>
      <c r="E348" s="6"/>
      <c r="F348" s="2"/>
      <c r="G348" s="20"/>
    </row>
    <row r="349" spans="2:7" x14ac:dyDescent="0.3">
      <c r="B349" s="4"/>
      <c r="C349" s="4"/>
      <c r="D349" s="5"/>
      <c r="E349" s="6"/>
      <c r="F349" s="2"/>
      <c r="G349" s="20"/>
    </row>
    <row r="350" spans="2:7" x14ac:dyDescent="0.3">
      <c r="B350" s="4"/>
      <c r="C350" s="4"/>
      <c r="D350" s="5"/>
      <c r="E350" s="6"/>
      <c r="F350" s="2"/>
      <c r="G350" s="20"/>
    </row>
    <row r="351" spans="2:7" x14ac:dyDescent="0.3">
      <c r="B351" s="4"/>
      <c r="C351" s="4"/>
      <c r="D351" s="5"/>
      <c r="E351" s="6"/>
      <c r="F351" s="2"/>
      <c r="G351" s="20"/>
    </row>
    <row r="352" spans="2:7" x14ac:dyDescent="0.3">
      <c r="B352" s="4"/>
      <c r="C352" s="4"/>
      <c r="D352" s="5"/>
      <c r="E352" s="6"/>
      <c r="F352" s="2"/>
      <c r="G352" s="20"/>
    </row>
    <row r="353" spans="2:7" x14ac:dyDescent="0.3">
      <c r="B353" s="4"/>
      <c r="C353" s="4"/>
      <c r="D353" s="5"/>
      <c r="E353" s="6"/>
      <c r="F353" s="2"/>
      <c r="G353" s="20"/>
    </row>
    <row r="354" spans="2:7" x14ac:dyDescent="0.3">
      <c r="B354" s="4"/>
      <c r="C354" s="4"/>
      <c r="D354" s="5"/>
      <c r="E354" s="6"/>
      <c r="F354" s="2"/>
      <c r="G354" s="20"/>
    </row>
    <row r="355" spans="2:7" x14ac:dyDescent="0.3">
      <c r="B355" s="4"/>
      <c r="C355" s="4"/>
      <c r="D355" s="5"/>
      <c r="E355" s="6"/>
      <c r="F355" s="2"/>
      <c r="G355" s="20"/>
    </row>
    <row r="356" spans="2:7" x14ac:dyDescent="0.3">
      <c r="B356" s="4"/>
      <c r="C356" s="4"/>
      <c r="D356" s="5"/>
      <c r="E356" s="6"/>
      <c r="F356" s="2"/>
      <c r="G356" s="20"/>
    </row>
    <row r="357" spans="2:7" x14ac:dyDescent="0.3">
      <c r="B357" s="4"/>
      <c r="C357" s="4"/>
      <c r="D357" s="5"/>
      <c r="E357" s="6"/>
      <c r="F357" s="2"/>
      <c r="G357" s="20"/>
    </row>
    <row r="358" spans="2:7" x14ac:dyDescent="0.3">
      <c r="B358" s="4"/>
      <c r="C358" s="4"/>
      <c r="D358" s="5"/>
      <c r="E358" s="6"/>
      <c r="F358" s="2"/>
      <c r="G358" s="20"/>
    </row>
    <row r="359" spans="2:7" x14ac:dyDescent="0.3">
      <c r="B359" s="4"/>
      <c r="C359" s="4"/>
      <c r="D359" s="5"/>
      <c r="E359" s="6"/>
      <c r="F359" s="2"/>
      <c r="G359" s="20"/>
    </row>
    <row r="360" spans="2:7" x14ac:dyDescent="0.3">
      <c r="B360" s="4"/>
      <c r="C360" s="4"/>
      <c r="D360" s="5"/>
      <c r="E360" s="6"/>
      <c r="F360" s="2"/>
      <c r="G360" s="20"/>
    </row>
    <row r="361" spans="2:7" x14ac:dyDescent="0.3">
      <c r="B361" s="4"/>
      <c r="C361" s="4"/>
      <c r="D361" s="5"/>
      <c r="E361" s="6"/>
      <c r="F361" s="2"/>
      <c r="G361" s="20"/>
    </row>
    <row r="362" spans="2:7" x14ac:dyDescent="0.3">
      <c r="B362" s="4"/>
      <c r="C362" s="4"/>
      <c r="D362" s="5"/>
      <c r="E362" s="6"/>
      <c r="F362" s="2"/>
      <c r="G362" s="20"/>
    </row>
    <row r="363" spans="2:7" x14ac:dyDescent="0.3">
      <c r="B363" s="4"/>
      <c r="C363" s="4"/>
      <c r="D363" s="5"/>
      <c r="E363" s="6"/>
      <c r="F363" s="2"/>
      <c r="G363" s="20"/>
    </row>
    <row r="364" spans="2:7" x14ac:dyDescent="0.3">
      <c r="B364" s="4"/>
      <c r="C364" s="4"/>
      <c r="D364" s="5"/>
      <c r="E364" s="6"/>
      <c r="F364" s="2"/>
      <c r="G364" s="20"/>
    </row>
    <row r="365" spans="2:7" x14ac:dyDescent="0.3">
      <c r="B365" s="4"/>
      <c r="C365" s="4"/>
      <c r="D365" s="5"/>
      <c r="E365" s="6"/>
      <c r="F365" s="2"/>
      <c r="G365" s="20"/>
    </row>
    <row r="366" spans="2:7" x14ac:dyDescent="0.3">
      <c r="B366" s="4"/>
      <c r="C366" s="4"/>
      <c r="D366" s="5"/>
      <c r="E366" s="6"/>
      <c r="F366" s="2"/>
      <c r="G366" s="20"/>
    </row>
    <row r="367" spans="2:7" x14ac:dyDescent="0.3">
      <c r="B367" s="4"/>
      <c r="C367" s="4"/>
      <c r="D367" s="5"/>
      <c r="E367" s="6"/>
      <c r="F367" s="2"/>
      <c r="G367" s="20"/>
    </row>
    <row r="368" spans="2:7" x14ac:dyDescent="0.3">
      <c r="B368" s="4"/>
      <c r="C368" s="4"/>
      <c r="D368" s="5"/>
      <c r="E368" s="6"/>
      <c r="F368" s="2"/>
      <c r="G368" s="20"/>
    </row>
    <row r="369" spans="2:7" x14ac:dyDescent="0.3">
      <c r="B369" s="4"/>
      <c r="C369" s="4"/>
      <c r="D369" s="5"/>
      <c r="E369" s="6"/>
      <c r="F369" s="2"/>
      <c r="G369" s="20"/>
    </row>
    <row r="370" spans="2:7" x14ac:dyDescent="0.3">
      <c r="B370" s="4"/>
      <c r="C370" s="4"/>
      <c r="D370" s="5"/>
      <c r="E370" s="6"/>
      <c r="F370" s="2"/>
      <c r="G370" s="20"/>
    </row>
    <row r="371" spans="2:7" x14ac:dyDescent="0.3">
      <c r="B371" s="4"/>
      <c r="C371" s="4"/>
      <c r="D371" s="5"/>
      <c r="E371" s="6"/>
      <c r="F371" s="2"/>
      <c r="G371" s="20"/>
    </row>
    <row r="372" spans="2:7" x14ac:dyDescent="0.3">
      <c r="B372" s="4"/>
      <c r="C372" s="4"/>
      <c r="D372" s="5"/>
      <c r="E372" s="6"/>
      <c r="F372" s="2"/>
      <c r="G372" s="20"/>
    </row>
    <row r="373" spans="2:7" x14ac:dyDescent="0.3">
      <c r="B373" s="4"/>
      <c r="C373" s="4"/>
      <c r="D373" s="5"/>
      <c r="E373" s="6"/>
      <c r="F373" s="2"/>
      <c r="G373" s="20"/>
    </row>
    <row r="374" spans="2:7" x14ac:dyDescent="0.3">
      <c r="B374" s="4"/>
      <c r="C374" s="4"/>
      <c r="D374" s="5"/>
      <c r="E374" s="6"/>
      <c r="F374" s="2"/>
      <c r="G374" s="20"/>
    </row>
    <row r="375" spans="2:7" x14ac:dyDescent="0.3">
      <c r="B375" s="4"/>
      <c r="C375" s="4"/>
      <c r="D375" s="5"/>
      <c r="E375" s="6"/>
      <c r="F375" s="2"/>
      <c r="G375" s="20"/>
    </row>
    <row r="376" spans="2:7" x14ac:dyDescent="0.3">
      <c r="B376" s="4"/>
      <c r="C376" s="4"/>
      <c r="D376" s="5"/>
      <c r="E376" s="6"/>
      <c r="F376" s="2"/>
      <c r="G376" s="20"/>
    </row>
    <row r="377" spans="2:7" x14ac:dyDescent="0.3">
      <c r="B377" s="4"/>
      <c r="C377" s="4"/>
      <c r="D377" s="5"/>
      <c r="E377" s="6"/>
      <c r="F377" s="2"/>
      <c r="G377" s="20"/>
    </row>
    <row r="378" spans="2:7" x14ac:dyDescent="0.3">
      <c r="B378" s="4"/>
      <c r="C378" s="4"/>
      <c r="D378" s="5"/>
      <c r="E378" s="6"/>
      <c r="F378" s="2"/>
      <c r="G378" s="20"/>
    </row>
    <row r="379" spans="2:7" x14ac:dyDescent="0.3">
      <c r="B379" s="4"/>
      <c r="C379" s="4"/>
      <c r="D379" s="5"/>
      <c r="E379" s="6"/>
      <c r="F379" s="2"/>
      <c r="G379" s="20"/>
    </row>
    <row r="380" spans="2:7" x14ac:dyDescent="0.3">
      <c r="B380" s="4"/>
      <c r="C380" s="4"/>
      <c r="D380" s="5"/>
      <c r="E380" s="6"/>
      <c r="F380" s="2"/>
      <c r="G380" s="20"/>
    </row>
    <row r="381" spans="2:7" x14ac:dyDescent="0.3">
      <c r="B381" s="4"/>
      <c r="C381" s="4"/>
      <c r="D381" s="5"/>
      <c r="E381" s="6"/>
      <c r="F381" s="2"/>
      <c r="G381" s="20"/>
    </row>
    <row r="382" spans="2:7" x14ac:dyDescent="0.3">
      <c r="B382" s="4"/>
      <c r="C382" s="4"/>
      <c r="D382" s="5"/>
      <c r="E382" s="6"/>
      <c r="F382" s="2"/>
      <c r="G382" s="20"/>
    </row>
    <row r="383" spans="2:7" x14ac:dyDescent="0.3">
      <c r="B383" s="4"/>
      <c r="C383" s="4"/>
      <c r="D383" s="5"/>
      <c r="E383" s="6"/>
      <c r="F383" s="2"/>
      <c r="G383" s="20"/>
    </row>
    <row r="384" spans="2:7" x14ac:dyDescent="0.3">
      <c r="B384" s="4"/>
      <c r="C384" s="4"/>
      <c r="D384" s="5"/>
      <c r="E384" s="6"/>
      <c r="F384" s="2"/>
      <c r="G384" s="20"/>
    </row>
    <row r="385" spans="2:7" x14ac:dyDescent="0.3">
      <c r="B385" s="4"/>
      <c r="C385" s="4"/>
      <c r="D385" s="5"/>
      <c r="E385" s="6"/>
      <c r="F385" s="2"/>
      <c r="G385" s="20"/>
    </row>
    <row r="386" spans="2:7" x14ac:dyDescent="0.3">
      <c r="B386" s="4"/>
      <c r="C386" s="4"/>
      <c r="D386" s="5"/>
      <c r="E386" s="6"/>
      <c r="F386" s="2"/>
      <c r="G386" s="20"/>
    </row>
    <row r="387" spans="2:7" x14ac:dyDescent="0.3">
      <c r="B387" s="4"/>
      <c r="C387" s="4"/>
      <c r="D387" s="5"/>
      <c r="E387" s="6"/>
      <c r="F387" s="2"/>
      <c r="G387" s="20"/>
    </row>
    <row r="388" spans="2:7" x14ac:dyDescent="0.3">
      <c r="B388" s="4"/>
      <c r="C388" s="4"/>
      <c r="D388" s="5"/>
      <c r="E388" s="6"/>
      <c r="F388" s="2"/>
      <c r="G388" s="20"/>
    </row>
    <row r="389" spans="2:7" x14ac:dyDescent="0.3">
      <c r="B389" s="4"/>
      <c r="C389" s="4"/>
      <c r="D389" s="5"/>
      <c r="E389" s="6"/>
      <c r="F389" s="2"/>
      <c r="G389" s="20"/>
    </row>
    <row r="390" spans="2:7" x14ac:dyDescent="0.3">
      <c r="B390" s="4"/>
      <c r="C390" s="4"/>
      <c r="D390" s="5"/>
      <c r="E390" s="6"/>
      <c r="F390" s="2"/>
      <c r="G390" s="20"/>
    </row>
    <row r="391" spans="2:7" x14ac:dyDescent="0.3">
      <c r="B391" s="4"/>
      <c r="C391" s="4"/>
      <c r="D391" s="5"/>
      <c r="E391" s="6"/>
      <c r="F391" s="2"/>
      <c r="G391" s="20"/>
    </row>
    <row r="392" spans="2:7" x14ac:dyDescent="0.3">
      <c r="B392" s="4"/>
      <c r="C392" s="4"/>
      <c r="D392" s="5"/>
      <c r="E392" s="6"/>
      <c r="F392" s="2"/>
      <c r="G392" s="20"/>
    </row>
    <row r="393" spans="2:7" x14ac:dyDescent="0.3">
      <c r="B393" s="4"/>
      <c r="C393" s="4"/>
      <c r="D393" s="5"/>
      <c r="E393" s="6"/>
      <c r="F393" s="2"/>
      <c r="G393" s="20"/>
    </row>
    <row r="394" spans="2:7" x14ac:dyDescent="0.3">
      <c r="B394" s="4"/>
      <c r="C394" s="4"/>
      <c r="D394" s="5"/>
      <c r="E394" s="6"/>
      <c r="F394" s="2"/>
      <c r="G394" s="20"/>
    </row>
    <row r="395" spans="2:7" x14ac:dyDescent="0.3">
      <c r="B395" s="4"/>
      <c r="C395" s="4"/>
      <c r="D395" s="5"/>
      <c r="E395" s="6"/>
      <c r="F395" s="2"/>
      <c r="G395" s="20"/>
    </row>
    <row r="396" spans="2:7" x14ac:dyDescent="0.3">
      <c r="B396" s="4"/>
      <c r="C396" s="4"/>
      <c r="D396" s="5"/>
      <c r="E396" s="6"/>
      <c r="F396" s="2"/>
      <c r="G396" s="20"/>
    </row>
    <row r="397" spans="2:7" x14ac:dyDescent="0.3">
      <c r="B397" s="4"/>
      <c r="C397" s="4"/>
      <c r="D397" s="5"/>
      <c r="E397" s="6"/>
      <c r="F397" s="2"/>
      <c r="G397" s="20"/>
    </row>
    <row r="398" spans="2:7" x14ac:dyDescent="0.3">
      <c r="B398" s="4"/>
      <c r="C398" s="4"/>
      <c r="D398" s="5"/>
      <c r="E398" s="6"/>
      <c r="F398" s="2"/>
      <c r="G398" s="20"/>
    </row>
    <row r="399" spans="2:7" x14ac:dyDescent="0.3">
      <c r="B399" s="4"/>
      <c r="C399" s="4"/>
      <c r="D399" s="5"/>
      <c r="E399" s="6"/>
      <c r="F399" s="2"/>
      <c r="G399" s="20"/>
    </row>
    <row r="400" spans="2:7" x14ac:dyDescent="0.3">
      <c r="B400" s="4"/>
      <c r="C400" s="4"/>
      <c r="D400" s="5"/>
      <c r="E400" s="6"/>
      <c r="F400" s="2"/>
      <c r="G400" s="20"/>
    </row>
    <row r="401" spans="2:7" x14ac:dyDescent="0.3">
      <c r="B401" s="4"/>
      <c r="C401" s="4"/>
      <c r="D401" s="5"/>
      <c r="E401" s="6"/>
      <c r="F401" s="2"/>
      <c r="G401" s="20"/>
    </row>
    <row r="402" spans="2:7" x14ac:dyDescent="0.3">
      <c r="B402" s="4"/>
      <c r="C402" s="4"/>
      <c r="D402" s="5"/>
      <c r="E402" s="6"/>
      <c r="F402" s="2"/>
      <c r="G402" s="20"/>
    </row>
    <row r="403" spans="2:7" x14ac:dyDescent="0.3">
      <c r="B403" s="4"/>
      <c r="C403" s="4"/>
      <c r="D403" s="5"/>
      <c r="E403" s="6"/>
      <c r="F403" s="2"/>
      <c r="G403" s="20"/>
    </row>
    <row r="404" spans="2:7" x14ac:dyDescent="0.3">
      <c r="B404" s="4"/>
      <c r="C404" s="4"/>
      <c r="D404" s="5"/>
      <c r="E404" s="6"/>
      <c r="F404" s="2"/>
      <c r="G404" s="20"/>
    </row>
    <row r="405" spans="2:7" x14ac:dyDescent="0.3">
      <c r="B405" s="4"/>
      <c r="C405" s="4"/>
      <c r="D405" s="5"/>
      <c r="E405" s="6"/>
      <c r="F405" s="2"/>
      <c r="G405" s="20"/>
    </row>
    <row r="406" spans="2:7" x14ac:dyDescent="0.3">
      <c r="B406" s="4"/>
      <c r="C406" s="4"/>
      <c r="D406" s="5"/>
      <c r="E406" s="6"/>
      <c r="F406" s="2"/>
      <c r="G406" s="20"/>
    </row>
    <row r="407" spans="2:7" x14ac:dyDescent="0.3">
      <c r="B407" s="4"/>
      <c r="C407" s="4"/>
      <c r="D407" s="5"/>
      <c r="E407" s="6"/>
      <c r="F407" s="2"/>
      <c r="G407" s="20"/>
    </row>
    <row r="408" spans="2:7" x14ac:dyDescent="0.3">
      <c r="B408" s="4"/>
      <c r="C408" s="4"/>
      <c r="D408" s="5"/>
      <c r="E408" s="6"/>
      <c r="F408" s="2"/>
      <c r="G408" s="20"/>
    </row>
    <row r="409" spans="2:7" x14ac:dyDescent="0.3">
      <c r="B409" s="4"/>
      <c r="C409" s="4"/>
      <c r="D409" s="5"/>
      <c r="E409" s="6"/>
      <c r="F409" s="2"/>
      <c r="G409" s="20"/>
    </row>
    <row r="410" spans="2:7" x14ac:dyDescent="0.3">
      <c r="B410" s="4"/>
      <c r="C410" s="4"/>
      <c r="D410" s="5"/>
      <c r="E410" s="6"/>
      <c r="F410" s="2"/>
      <c r="G410" s="20"/>
    </row>
    <row r="411" spans="2:7" x14ac:dyDescent="0.3">
      <c r="B411" s="4"/>
      <c r="C411" s="4"/>
      <c r="D411" s="5"/>
      <c r="E411" s="6"/>
      <c r="F411" s="2"/>
      <c r="G411" s="20"/>
    </row>
    <row r="412" spans="2:7" x14ac:dyDescent="0.3">
      <c r="B412" s="4"/>
      <c r="C412" s="4"/>
      <c r="D412" s="5"/>
      <c r="E412" s="6"/>
      <c r="F412" s="2"/>
      <c r="G412" s="20"/>
    </row>
    <row r="413" spans="2:7" x14ac:dyDescent="0.3">
      <c r="B413" s="4"/>
      <c r="C413" s="4"/>
      <c r="D413" s="5"/>
      <c r="E413" s="6"/>
      <c r="F413" s="2"/>
      <c r="G413" s="20"/>
    </row>
  </sheetData>
  <autoFilter ref="A4:I4" xr:uid="{23A73F42-B74E-4F55-A023-9F30E671F4A8}"/>
  <mergeCells count="2">
    <mergeCell ref="B1:C1"/>
    <mergeCell ref="B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62AE36-CB7A-4376-A055-1F935728D0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Silva</dc:creator>
  <cp:lastModifiedBy>Eduardo Silva</cp:lastModifiedBy>
  <dcterms:created xsi:type="dcterms:W3CDTF">2024-05-03T18:26:42Z</dcterms:created>
  <dcterms:modified xsi:type="dcterms:W3CDTF">2024-05-04T00:28:50Z</dcterms:modified>
</cp:coreProperties>
</file>